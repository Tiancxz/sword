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8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</row>
    <row r="4" ht="24" customHeight="1">
      <c r="A4" s="12" t="inlineStr">
        <is>
          <t xml:space="preserve">    ▸ A1.主场景循环  [P1]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17" t="inlineStr">
        <is>
          <t>待办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17" t="inlineStr">
        <is>
          <t>待办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17" t="inlineStr">
        <is>
          <t>待办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17" t="inlineStr">
        <is>
          <t>待办</t>
        </is>
      </c>
    </row>
    <row r="9" ht="28" customHeight="1">
      <c r="A9" s="10" t="inlineStr">
        <is>
          <t xml:space="preserve">  A.项目骨架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 ht="24" customHeight="1">
      <c r="A10" s="12" t="inlineStr">
        <is>
          <t xml:space="preserve">    ▸ A2.输入系统  [P1]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17" t="inlineStr">
        <is>
          <t>待办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17" t="inlineStr">
        <is>
          <t>待办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17" t="inlineStr">
        <is>
          <t>待办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17" t="inlineStr">
        <is>
          <t>待办</t>
        </is>
      </c>
    </row>
    <row r="15" ht="28" customHeight="1">
      <c r="A15" s="10" t="inlineStr">
        <is>
          <t xml:space="preserve">  A.项目骨架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 ht="24" customHeight="1">
      <c r="A16" s="12" t="inlineStr">
        <is>
          <t xml:space="preserve">    ▸ A3.事件总线  [P1]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17" t="inlineStr">
        <is>
          <t>待办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17" t="inlineStr">
        <is>
          <t>待办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17" t="inlineStr">
        <is>
          <t>待办</t>
        </is>
      </c>
    </row>
    <row r="20" ht="28" customHeight="1">
      <c r="A20" s="10" t="inlineStr">
        <is>
          <t xml:space="preserve">  A.项目骨架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</row>
    <row r="21" ht="24" customHeight="1">
      <c r="A21" s="12" t="inlineStr">
        <is>
          <t xml:space="preserve">    ▸ A4.场景管理  [P1]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17" t="inlineStr">
        <is>
          <t>待办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17" t="inlineStr">
        <is>
          <t>待办</t>
        </is>
      </c>
    </row>
    <row r="24" ht="28" customHeight="1">
      <c r="A24" s="10" t="inlineStr">
        <is>
          <t xml:space="preserve">  A.项目骨架</t>
        </is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</row>
    <row r="25" ht="24" customHeight="1">
      <c r="A25" s="12" t="inlineStr">
        <is>
          <t xml:space="preserve">    ▸ A5.渲染辅助  [P1]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17" t="inlineStr">
        <is>
          <t>待办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17" t="inlineStr">
        <is>
          <t>待办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17" t="inlineStr">
        <is>
          <t>待办</t>
        </is>
      </c>
    </row>
    <row r="29" ht="28" customHeight="1">
      <c r="A29" s="10" t="inlineStr">
        <is>
          <t xml:space="preserve">  A.项目骨架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 ht="24" customHeight="1">
      <c r="A30" s="12" t="inlineStr">
        <is>
          <t xml:space="preserve">    ▸ A6.粒子系统  [P6]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17" t="inlineStr">
        <is>
          <t>待办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17" t="inlineStr">
        <is>
          <t>待办</t>
        </is>
      </c>
    </row>
    <row r="33" ht="28" customHeight="1">
      <c r="A33" s="10" t="inlineStr">
        <is>
          <t xml:space="preserve">  A.项目骨架</t>
        </is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 ht="24" customHeight="1">
      <c r="A34" s="12" t="inlineStr">
        <is>
          <t xml:space="preserve">    ▸ A7.音频管理  [P6]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17" t="inlineStr">
        <is>
          <t>待办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17" t="inlineStr">
        <is>
          <t>待办</t>
        </is>
      </c>
    </row>
    <row r="37" ht="28" customHeight="1">
      <c r="A37" s="10" t="inlineStr">
        <is>
          <t xml:space="preserve">  B.游戏数据</t>
        </is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 ht="24" customHeight="1">
      <c r="A38" s="12" t="inlineStr">
        <is>
          <t xml:space="preserve">    ▸ B1.常量配置  [P2]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17" t="inlineStr">
        <is>
          <t>待办</t>
        </is>
      </c>
    </row>
    <row r="40" ht="28" customHeight="1">
      <c r="A40" s="10" t="inlineStr">
        <is>
          <t xml:space="preserve">  B.游戏数据</t>
        </is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</row>
    <row r="41" ht="24" customHeight="1">
      <c r="A41" s="12" t="inlineStr">
        <is>
          <t xml:space="preserve">    ▸ B2.卡牌数据表  [P2]</t>
        </is>
      </c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17" t="inlineStr">
        <is>
          <t>待办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17" t="inlineStr">
        <is>
          <t>待办</t>
        </is>
      </c>
    </row>
    <row r="44" ht="28" customHeight="1">
      <c r="A44" s="10" t="inlineStr">
        <is>
          <t xml:space="preserve">  B.游戏数据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</row>
    <row r="45" ht="24" customHeight="1">
      <c r="A45" s="12" t="inlineStr">
        <is>
          <t xml:space="preserve">    ▸ B3.卡组手牌  [P2]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17" t="inlineStr">
        <is>
          <t>待办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17" t="inlineStr">
        <is>
          <t>待办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17" t="inlineStr">
        <is>
          <t>待办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17" t="inlineStr">
        <is>
          <t>待办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17" t="inlineStr">
        <is>
          <t>待办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17" t="inlineStr">
        <is>
          <t>待办</t>
        </is>
      </c>
    </row>
    <row r="52" ht="28" customHeight="1">
      <c r="A52" s="10" t="inlineStr">
        <is>
          <t xml:space="preserve">  B.游戏数据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</row>
    <row r="53" ht="24" customHeight="1">
      <c r="A53" s="12" t="inlineStr">
        <is>
          <t xml:space="preserve">    ▸ B4.预设卡组  [P2]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17" t="inlineStr">
        <is>
          <t>待办</t>
        </is>
      </c>
    </row>
    <row r="55" ht="28" customHeight="1">
      <c r="A55" s="10" t="inlineStr">
        <is>
          <t xml:space="preserve">  C.战斗逻辑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</row>
    <row r="56" ht="24" customHeight="1">
      <c r="A56" s="12" t="inlineStr">
        <is>
          <t xml:space="preserve">    ▸ C1.战斗主循环  [P3]</t>
        </is>
      </c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17" t="inlineStr">
        <is>
          <t>待办</t>
        </is>
      </c>
    </row>
    <row r="58" ht="28" customHeight="1">
      <c r="A58" s="10" t="inlineStr">
        <is>
          <t xml:space="preserve">  C.战斗逻辑</t>
        </is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</row>
    <row r="59" ht="24" customHeight="1">
      <c r="A59" s="12" t="inlineStr">
        <is>
          <t xml:space="preserve">    ▸ C2.单位实体  [P3]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17" t="inlineStr">
        <is>
          <t>待办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17" t="inlineStr">
        <is>
          <t>待办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17" t="inlineStr">
        <is>
          <t>待办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17" t="inlineStr">
        <is>
          <t>待办</t>
        </is>
      </c>
    </row>
    <row r="64" ht="28" customHeight="1">
      <c r="A64" s="10" t="inlineStr">
        <is>
          <t xml:space="preserve">  C.战斗逻辑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</row>
    <row r="65" ht="24" customHeight="1">
      <c r="A65" s="12" t="inlineStr">
        <is>
          <t xml:space="preserve">    ▸ C3.移动系统  [P3]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17" t="inlineStr">
        <is>
          <t>待办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17" t="inlineStr">
        <is>
          <t>待办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17" t="inlineStr">
        <is>
          <t>待办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17" t="inlineStr">
        <is>
          <t>待办</t>
        </is>
      </c>
    </row>
    <row r="70" ht="28" customHeight="1">
      <c r="A70" s="10" t="inlineStr">
        <is>
          <t xml:space="preserve">  C.战斗逻辑</t>
        </is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</row>
    <row r="71" ht="24" customHeight="1">
      <c r="A71" s="12" t="inlineStr">
        <is>
          <t xml:space="preserve">    ▸ C4.战斗系统  [P3]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17" t="inlineStr">
        <is>
          <t>待办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17" t="inlineStr">
        <is>
          <t>待办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17" t="inlineStr">
        <is>
          <t>待办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17" t="inlineStr">
        <is>
          <t>待办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17" t="inlineStr">
        <is>
          <t>待办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17" t="inlineStr">
        <is>
          <t>待办</t>
        </is>
      </c>
    </row>
    <row r="78" ht="28" customHeight="1">
      <c r="A78" s="10" t="inlineStr">
        <is>
          <t xml:space="preserve">  C.战斗逻辑</t>
        </is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</row>
    <row r="79" ht="24" customHeight="1">
      <c r="A79" s="12" t="inlineStr">
        <is>
          <t xml:space="preserve">    ▸ C5.阵法系统  [P4]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17" t="inlineStr">
        <is>
          <t>待办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17" t="inlineStr">
        <is>
          <t>待办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17" t="inlineStr">
        <is>
          <t>待办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17" t="inlineStr">
        <is>
          <t>待办</t>
        </is>
      </c>
    </row>
    <row r="84" ht="28" customHeight="1">
      <c r="A84" s="10" t="inlineStr">
        <is>
          <t xml:space="preserve">  C.战斗逻辑</t>
        </is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</row>
    <row r="85" ht="24" customHeight="1">
      <c r="A85" s="12" t="inlineStr">
        <is>
          <t xml:space="preserve">    ▸ C6.法术系统  [P4]</t>
        </is>
      </c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17" t="inlineStr">
        <is>
          <t>待办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17" t="inlineStr">
        <is>
          <t>待办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17" t="inlineStr">
        <is>
          <t>待办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17" t="inlineStr">
        <is>
          <t>待办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17" t="inlineStr">
        <is>
          <t>待办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17" t="inlineStr">
        <is>
          <t>待办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17" t="inlineStr">
        <is>
          <t>待办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17" t="inlineStr">
        <is>
          <t>待办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17" t="inlineStr">
        <is>
          <t>待办</t>
        </is>
      </c>
    </row>
    <row r="95" ht="28" customHeight="1">
      <c r="A95" s="10" t="inlineStr">
        <is>
          <t xml:space="preserve">  C.战斗逻辑</t>
        </is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</row>
    <row r="96" ht="24" customHeight="1">
      <c r="A96" s="12" t="inlineStr">
        <is>
          <t xml:space="preserve">    ▸ C7.长老技能  [P4]</t>
        </is>
      </c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17" t="inlineStr">
        <is>
          <t>待办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17" t="inlineStr">
        <is>
          <t>待办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17" t="inlineStr">
        <is>
          <t>待办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17" t="inlineStr">
        <is>
          <t>待办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17" t="inlineStr">
        <is>
          <t>待办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17" t="inlineStr">
        <is>
          <t>待办</t>
        </is>
      </c>
    </row>
    <row r="103" ht="28" customHeight="1">
      <c r="A103" s="10" t="inlineStr">
        <is>
          <t xml:space="preserve">  C.战斗逻辑</t>
        </is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</row>
    <row r="104" ht="24" customHeight="1">
      <c r="A104" s="12" t="inlineStr">
        <is>
          <t xml:space="preserve">    ▸ C8.灵力系统  [P4]</t>
        </is>
      </c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17" t="inlineStr">
        <is>
          <t>待办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17" t="inlineStr">
        <is>
          <t>待办</t>
        </is>
      </c>
    </row>
    <row r="107" ht="28" customHeight="1">
      <c r="A107" s="10" t="inlineStr">
        <is>
          <t xml:space="preserve">  C.战斗逻辑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</row>
    <row r="108" ht="24" customHeight="1">
      <c r="A108" s="12" t="inlineStr">
        <is>
          <t xml:space="preserve">    ▸ C9.出牌执行  [P4]</t>
        </is>
      </c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17" t="inlineStr">
        <is>
          <t>待办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17" t="inlineStr">
        <is>
          <t>待办</t>
        </is>
      </c>
    </row>
    <row r="111" ht="28" customHeight="1">
      <c r="A111" s="10" t="inlineStr">
        <is>
          <t xml:space="preserve">  C.战斗逻辑</t>
        </is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</row>
    <row r="112" ht="24" customHeight="1">
      <c r="A112" s="12" t="inlineStr">
        <is>
          <t xml:space="preserve">    ▸ C10.胜负判定  [P3]</t>
        </is>
      </c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17" t="inlineStr">
        <is>
          <t>待办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17" t="inlineStr">
        <is>
          <t>待办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17" t="inlineStr">
        <is>
          <t>待办</t>
        </is>
      </c>
    </row>
    <row r="116" ht="28" customHeight="1">
      <c r="A116" s="10" t="inlineStr">
        <is>
          <t xml:space="preserve">  C.战斗逻辑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</row>
    <row r="117" ht="24" customHeight="1">
      <c r="A117" s="12" t="inlineStr">
        <is>
          <t xml:space="preserve">    ▸ C11.死亡清理  [P3]</t>
        </is>
      </c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17" t="inlineStr">
        <is>
          <t>待办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17" t="inlineStr">
        <is>
          <t>待办</t>
        </is>
      </c>
    </row>
    <row r="120" ht="28" customHeight="1">
      <c r="A120" s="10" t="inlineStr">
        <is>
          <t xml:space="preserve">  D.AI系统</t>
        </is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</row>
    <row r="121" ht="24" customHeight="1">
      <c r="A121" s="12" t="inlineStr">
        <is>
          <t xml:space="preserve">    ▸ D1.AI决策  [P5]</t>
        </is>
      </c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</row>
    <row r="128" ht="24" customHeight="1">
      <c r="A128" s="12" t="inlineStr">
        <is>
          <t xml:space="preserve">    ▸ E1.战斗场景  [P6]</t>
        </is>
      </c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</row>
    <row r="134" ht="24" customHeight="1">
      <c r="A134" s="12" t="inlineStr">
        <is>
          <t xml:space="preserve">    ▸ E2.背景渲染  [P6]</t>
        </is>
      </c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</row>
    <row r="138" ht="24" customHeight="1">
      <c r="A138" s="12" t="inlineStr">
        <is>
          <t xml:space="preserve">    ▸ E3.大殿渲染  [P6]</t>
        </is>
      </c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</row>
    <row r="143" ht="24" customHeight="1">
      <c r="A143" s="12" t="inlineStr">
        <is>
          <t xml:space="preserve">    ▸ E4.单位渲染  [P6]</t>
        </is>
      </c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</row>
    <row r="147" ht="24" customHeight="1">
      <c r="A147" s="12" t="inlineStr">
        <is>
          <t xml:space="preserve">    ▸ E5.阵法渲染  [P6]</t>
        </is>
      </c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</row>
    <row r="150" ht="24" customHeight="1">
      <c r="A150" s="12" t="inlineStr">
        <is>
          <t xml:space="preserve">    ▸ E6.UI-手牌栏  [P6]</t>
        </is>
      </c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</row>
    <row r="154" ht="24" customHeight="1">
      <c r="A154" s="12" t="inlineStr">
        <is>
          <t xml:space="preserve">    ▸ E7.UI-灵力条  [P6]</t>
        </is>
      </c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</row>
    <row r="157" ht="24" customHeight="1">
      <c r="A157" s="12" t="inlineStr">
        <is>
          <t xml:space="preserve">    ▸ E8.UI-顶部HUD  [P6]</t>
        </is>
      </c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</row>
    <row r="161" ht="24" customHeight="1">
      <c r="A161" s="12" t="inlineStr">
        <is>
          <t xml:space="preserve">    ▸ E9.出牌交互  [P6]</t>
        </is>
      </c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</row>
    <row r="165" ht="24" customHeight="1">
      <c r="A165" s="12" t="inlineStr">
        <is>
          <t xml:space="preserve">    ▸ E10.结算场景  [P6]</t>
        </is>
      </c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</row>
    <row r="170" ht="24" customHeight="1">
      <c r="A170" s="12" t="inlineStr">
        <is>
          <t xml:space="preserve">    ▸ E11.新手引导  [P6]</t>
        </is>
      </c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</row>
    <row r="195" ht="24" customHeight="1">
      <c r="A195" s="12" t="inlineStr">
        <is>
          <t xml:space="preserve">    ▸ I1.平台抽象层  [P8]</t>
        </is>
      </c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17" t="inlineStr">
        <is>
          <t>待办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</row>
    <row r="201" ht="24" customHeight="1">
      <c r="A201" s="12" t="inlineStr">
        <is>
          <t xml:space="preserve">    ▸ I2.微信小游戏导出  [P8]</t>
        </is>
      </c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</row>
    <row r="208" ht="24" customHeight="1">
      <c r="A208" s="12" t="inlineStr">
        <is>
          <t xml:space="preserve">    ▸ I3.Steam导出  [P8]</t>
        </is>
      </c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</row>
    <row r="214" ht="24" customHeight="1">
      <c r="A214" s="12" t="inlineStr">
        <is>
          <t xml:space="preserve">    ▸ I4.安卓/谷歌商店导出  [P8]</t>
        </is>
      </c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>
        <f>SUMPRODUCT(--ISNUMBER(MATCH(2.开发主表!C3:C218,{"P1"},0)))</f>
        <v/>
      </c>
      <c r="C3" s="20">
        <f>SUMPRODUCT(--ISNUMBER(MATCH(2.开发主表!C3:C218,{"P1"},0))*(2.开发主表!O3:O218="完成"))</f>
        <v/>
      </c>
      <c r="D3" s="20">
        <f>SUMPRODUCT(--ISNUMBER(MATCH(2.开发主表!C3:C218,{"P1"},0))*(2.开发主表!O3:O218="进行中"))</f>
        <v/>
      </c>
      <c r="E3" s="20">
        <f>SUMPRODUCT(--ISNUMBER(MATCH(2.开发主表!C3:C218,{"P1"},0))*(2.开发主表!O3:O218="待办"))</f>
        <v/>
      </c>
      <c r="F3" s="21">
        <f>IF(B3&gt;0,C3/B3,0)</f>
        <v/>
      </c>
    </row>
    <row r="4" ht="26" customHeight="1">
      <c r="A4" s="19" t="inlineStr">
        <is>
          <t>P2 游戏数据</t>
        </is>
      </c>
      <c r="B4" s="22">
        <f>SUMPRODUCT(--ISNUMBER(MATCH(2.开发主表!C3:C218,{"P2"},0)))</f>
        <v/>
      </c>
      <c r="C4" s="22">
        <f>SUMPRODUCT(--ISNUMBER(MATCH(2.开发主表!C3:C218,{"P2"},0))*(2.开发主表!O3:O218="完成"))</f>
        <v/>
      </c>
      <c r="D4" s="22">
        <f>SUMPRODUCT(--ISNUMBER(MATCH(2.开发主表!C3:C218,{"P2"},0))*(2.开发主表!O3:O218="进行中"))</f>
        <v/>
      </c>
      <c r="E4" s="22">
        <f>SUMPRODUCT(--ISNUMBER(MATCH(2.开发主表!C3:C218,{"P2"},0))*(2.开发主表!O3:O218="待办"))</f>
        <v/>
      </c>
      <c r="F4" s="23">
        <f>IF(B4&gt;0,C4/B4,0)</f>
        <v/>
      </c>
    </row>
    <row r="5" ht="26" customHeight="1">
      <c r="A5" s="19" t="inlineStr">
        <is>
          <t>P3 核心战斗</t>
        </is>
      </c>
      <c r="B5" s="20">
        <f>SUMPRODUCT(--ISNUMBER(MATCH(2.开发主表!C3:C218,{"P3"},0)))</f>
        <v/>
      </c>
      <c r="C5" s="20">
        <f>SUMPRODUCT(--ISNUMBER(MATCH(2.开发主表!C3:C218,{"P3"},0))*(2.开发主表!O3:O218="完成"))</f>
        <v/>
      </c>
      <c r="D5" s="20">
        <f>SUMPRODUCT(--ISNUMBER(MATCH(2.开发主表!C3:C218,{"P3"},0))*(2.开发主表!O3:O218="进行中"))</f>
        <v/>
      </c>
      <c r="E5" s="20">
        <f>SUMPRODUCT(--ISNUMBER(MATCH(2.开发主表!C3:C218,{"P3"},0))*(2.开发主表!O3:O218="待办"))</f>
        <v/>
      </c>
      <c r="F5" s="21">
        <f>IF(B5&gt;0,C5/B5,0)</f>
        <v/>
      </c>
    </row>
    <row r="6" ht="26" customHeight="1">
      <c r="A6" s="19" t="inlineStr">
        <is>
          <t>P4 扩展战斗</t>
        </is>
      </c>
      <c r="B6" s="22">
        <f>SUMPRODUCT(--ISNUMBER(MATCH(2.开发主表!C3:C218,{"P4"},0)))</f>
        <v/>
      </c>
      <c r="C6" s="22">
        <f>SUMPRODUCT(--ISNUMBER(MATCH(2.开发主表!C3:C218,{"P4"},0))*(2.开发主表!O3:O218="完成"))</f>
        <v/>
      </c>
      <c r="D6" s="22">
        <f>SUMPRODUCT(--ISNUMBER(MATCH(2.开发主表!C3:C218,{"P4"},0))*(2.开发主表!O3:O218="进行中"))</f>
        <v/>
      </c>
      <c r="E6" s="22">
        <f>SUMPRODUCT(--ISNUMBER(MATCH(2.开发主表!C3:C218,{"P4"},0))*(2.开发主表!O3:O218="待办"))</f>
        <v/>
      </c>
      <c r="F6" s="23">
        <f>IF(B6&gt;0,C6/B6,0)</f>
        <v/>
      </c>
    </row>
    <row r="7" ht="26" customHeight="1">
      <c r="A7" s="19" t="inlineStr">
        <is>
          <t>P5 AI系统</t>
        </is>
      </c>
      <c r="B7" s="20">
        <f>SUMPRODUCT(--ISNUMBER(MATCH(2.开发主表!C3:C218,{"P5"},0)))</f>
        <v/>
      </c>
      <c r="C7" s="20">
        <f>SUMPRODUCT(--ISNUMBER(MATCH(2.开发主表!C3:C218,{"P5"},0))*(2.开发主表!O3:O218="完成"))</f>
        <v/>
      </c>
      <c r="D7" s="20">
        <f>SUMPRODUCT(--ISNUMBER(MATCH(2.开发主表!C3:C218,{"P5"},0))*(2.开发主表!O3:O218="进行中"))</f>
        <v/>
      </c>
      <c r="E7" s="20">
        <f>SUMPRODUCT(--ISNUMBER(MATCH(2.开发主表!C3:C218,{"P5"},0))*(2.开发主表!O3:O218="待办"))</f>
        <v/>
      </c>
      <c r="F7" s="21">
        <f>IF(B7&gt;0,C7/B7,0)</f>
        <v/>
      </c>
    </row>
    <row r="8" ht="26" customHeight="1">
      <c r="A8" s="19" t="inlineStr">
        <is>
          <t>P6 渲染UI</t>
        </is>
      </c>
      <c r="B8" s="22">
        <f>SUMPRODUCT(--ISNUMBER(MATCH(2.开发主表!C3:C218,{"P6"},0)))</f>
        <v/>
      </c>
      <c r="C8" s="22">
        <f>SUMPRODUCT(--ISNUMBER(MATCH(2.开发主表!C3:C218,{"P6"},0))*(2.开发主表!O3:O218="完成"))</f>
        <v/>
      </c>
      <c r="D8" s="22">
        <f>SUMPRODUCT(--ISNUMBER(MATCH(2.开发主表!C3:C218,{"P6"},0))*(2.开发主表!O3:O218="进行中"))</f>
        <v/>
      </c>
      <c r="E8" s="22">
        <f>SUMPRODUCT(--ISNUMBER(MATCH(2.开发主表!C3:C218,{"P6"},0))*(2.开发主表!O3:O218="待办"))</f>
        <v/>
      </c>
      <c r="F8" s="23">
        <f>IF(B8&gt;0,C8/B8,0)</f>
        <v/>
      </c>
    </row>
    <row r="9" ht="26" customHeight="1">
      <c r="A9" s="19" t="inlineStr">
        <is>
          <t>P0 环境搭建</t>
        </is>
      </c>
      <c r="B9" s="20">
        <f>SUMPRODUCT(--ISNUMBER(MATCH(2.开发主表!C3:C218,{"P7"},0)))</f>
        <v/>
      </c>
      <c r="C9" s="20">
        <f>SUMPRODUCT(--ISNUMBER(MATCH(2.开发主表!C3:C218,{"P7"},0))*(2.开发主表!O3:O218="完成"))</f>
        <v/>
      </c>
      <c r="D9" s="20">
        <f>SUMPRODUCT(--ISNUMBER(MATCH(2.开发主表!C3:C218,{"P7"},0))*(2.开发主表!O3:O218="进行中"))</f>
        <v/>
      </c>
      <c r="E9" s="20">
        <f>SUMPRODUCT(--ISNUMBER(MATCH(2.开发主表!C3:C218,{"P7"},0))*(2.开发主表!O3:O218="待办"))</f>
        <v/>
      </c>
      <c r="F9" s="21">
        <f>IF(B9&gt;0,C9/B9,0)</f>
        <v/>
      </c>
    </row>
    <row r="10" ht="26" customHeight="1">
      <c r="A10" s="19" t="inlineStr">
        <is>
          <t>P8 跨平台导出</t>
        </is>
      </c>
      <c r="B10" s="22">
        <f>SUMPRODUCT(--ISNUMBER(MATCH(2.开发主表!C3:C218,{"P8"},0)))</f>
        <v/>
      </c>
      <c r="C10" s="22">
        <f>SUMPRODUCT(--ISNUMBER(MATCH(2.开发主表!C3:C218,{"P8"},0))*(2.开发主表!O3:O218="完成"))</f>
        <v/>
      </c>
      <c r="D10" s="22">
        <f>SUMPRODUCT(--ISNUMBER(MATCH(2.开发主表!C3:C218,{"P8"},0))*(2.开发主表!O3:O218="进行中"))</f>
        <v/>
      </c>
      <c r="E10" s="22">
        <f>SUMPRODUCT(--ISNUMBER(MATCH(2.开发主表!C3:C218,{"P8"},0))*(2.开发主表!O3:O218="待办"))</f>
        <v/>
      </c>
      <c r="F10" s="23">
        <f>IF(B10&gt;0,C10/B10,0)</f>
        <v/>
      </c>
    </row>
    <row r="11" ht="26" customHeight="1">
      <c r="A11" s="19" t="inlineStr">
        <is>
          <t>P9-14 社交养成</t>
        </is>
      </c>
      <c r="B11" s="20">
        <f>SUMPRODUCT(--ISNUMBER(MATCH(2.开发主表!C3:C218,{"P9","P10","P11","P12","P13","P14"},0)))</f>
        <v/>
      </c>
      <c r="C11" s="20">
        <f>SUMPRODUCT(--ISNUMBER(MATCH(2.开发主表!C3:C218,{"P9","P10","P11","P12","P13","P14"},0))*(2.开发主表!O3:O218="完成"))</f>
        <v/>
      </c>
      <c r="D11" s="20">
        <f>SUMPRODUCT(--ISNUMBER(MATCH(2.开发主表!C3:C218,{"P9","P10","P11","P12","P13","P14"},0))*(2.开发主表!O3:O218="进行中"))</f>
        <v/>
      </c>
      <c r="E11" s="20">
        <f>SUMPRODUCT(--ISNUMBER(MATCH(2.开发主表!C3:C218,{"P9","P10","P11","P12","P13","P14"},0))*(2.开发主表!O3:O218="待办"))</f>
        <v/>
      </c>
      <c r="F11" s="21">
        <f>IF(B11&gt;0,C11/B11,0)</f>
        <v/>
      </c>
    </row>
    <row r="12" ht="26" customHeight="1">
      <c r="A12" s="19" t="inlineStr">
        <is>
          <t>P16-18 实时PvP</t>
        </is>
      </c>
      <c r="B12" s="22">
        <f>SUMPRODUCT(--ISNUMBER(MATCH(2.开发主表!C3:C218,{"P16","P17","P18"},0)))</f>
        <v/>
      </c>
      <c r="C12" s="22">
        <f>SUMPRODUCT(--ISNUMBER(MATCH(2.开发主表!C3:C218,{"P16","P17","P18"},0))*(2.开发主表!O3:O218="完成"))</f>
        <v/>
      </c>
      <c r="D12" s="22">
        <f>SUMPRODUCT(--ISNUMBER(MATCH(2.开发主表!C3:C218,{"P16","P17","P18"},0))*(2.开发主表!O3:O218="进行中"))</f>
        <v/>
      </c>
      <c r="E12" s="22">
        <f>SUMPRODUCT(--ISNUMBER(MATCH(2.开发主表!C3:C218,{"P16","P17","P18"},0))*(2.开发主表!O3:O218="待办"))</f>
        <v/>
      </c>
      <c r="F12" s="23">
        <f>IF(B12&gt;0,C12/B12,0)</f>
        <v/>
      </c>
    </row>
    <row r="13" ht="30" customHeight="1">
      <c r="A13" s="7" t="inlineStr">
        <is>
          <t>合计</t>
        </is>
      </c>
      <c r="B13" s="7">
        <f>SUM(B3:B12)</f>
        <v/>
      </c>
      <c r="C13" s="7">
        <f>SUM(C3:C12)</f>
        <v/>
      </c>
      <c r="D13" s="7">
        <f>SUM(D3:D12)</f>
        <v/>
      </c>
      <c r="E13" s="7">
        <f>SUM(E3:E12)</f>
        <v/>
      </c>
      <c r="F13" s="24">
        <f>IF(C13&gt;0,C13/B13,0)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2026-08-07T19:13:00Z</dcterms:modified>
</cp:coreProperties>
</file>