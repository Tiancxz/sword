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开发阶段规划" sheetId="1" state="visible" r:id="rId1"/>
    <sheet name="1.设计思路与玩法" sheetId="2" state="visible" r:id="rId2"/>
    <sheet name="2.开发主表" sheetId="3" state="visible" r:id="rId3"/>
    <sheet name="3.进度统计" sheetId="4" state="visible" r:id="rId4"/>
    <sheet name="4.卡牌数据" sheetId="5" state="visible" r:id="rId5"/>
    <sheet name="5.数值配置" sheetId="6" state="visible" r:id="rId6"/>
    <sheet name="6.AI提问指南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color rgb="007F8C8D"/>
      <sz val="9"/>
    </font>
    <font>
      <name val="微软雅黑"/>
      <b val="1"/>
      <color rgb="00FFFFFF"/>
      <sz val="11"/>
    </font>
    <font>
      <name val="微软雅黑"/>
      <b val="1"/>
      <color rgb="00FFFFFF"/>
      <sz val="12"/>
    </font>
    <font>
      <name val="微软雅黑"/>
      <color rgb="002C3E50"/>
      <sz val="10"/>
    </font>
    <font>
      <name val="微软雅黑"/>
      <b val="1"/>
      <color rgb="00117A65"/>
      <sz val="10"/>
    </font>
    <font>
      <name val="Consolas"/>
      <color rgb="001A5276"/>
      <sz val="10"/>
    </font>
    <font>
      <name val="微软雅黑"/>
      <b val="1"/>
      <color rgb="002C3E50"/>
      <sz val="10"/>
    </font>
    <font>
      <name val="微软雅黑"/>
      <b val="1"/>
      <color rgb="00B7950B"/>
      <sz val="11"/>
    </font>
    <font>
      <name val="微软雅黑"/>
      <b val="1"/>
      <color rgb="00FFFFFF"/>
      <sz val="13"/>
    </font>
    <font>
      <name val="微软雅黑"/>
      <b val="1"/>
      <color rgb="002C3E50"/>
      <sz val="11"/>
    </font>
    <font>
      <name val="微软雅黑"/>
      <b val="1"/>
      <color rgb="00FFFFFF"/>
      <sz val="8"/>
    </font>
    <font>
      <name val="微软雅黑"/>
      <b val="1"/>
      <color rgb="00FFFFFF"/>
      <sz val="9"/>
    </font>
    <font>
      <name val="微软雅黑"/>
      <b val="1"/>
      <color rgb="00C0392B"/>
      <sz val="10"/>
    </font>
    <font>
      <name val="Consolas"/>
      <color rgb="0027AE60"/>
      <sz val="11"/>
    </font>
  </fonts>
  <fills count="19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1A5276"/>
      </patternFill>
    </fill>
    <fill>
      <patternFill patternType="solid">
        <fgColor rgb="00E8F8F5"/>
      </patternFill>
    </fill>
    <fill>
      <patternFill patternType="solid">
        <fgColor rgb="00FDF2E9"/>
      </patternFill>
    </fill>
    <fill>
      <patternFill patternType="solid">
        <fgColor rgb="002874A6"/>
      </patternFill>
    </fill>
    <fill>
      <patternFill patternType="solid">
        <fgColor rgb="00117A65"/>
      </patternFill>
    </fill>
    <fill>
      <patternFill patternType="solid">
        <fgColor rgb="00B7950B"/>
      </patternFill>
    </fill>
    <fill>
      <patternFill patternType="solid">
        <fgColor rgb="008E44AD"/>
      </patternFill>
    </fill>
    <fill>
      <patternFill patternType="solid">
        <fgColor rgb="00C0392B"/>
      </patternFill>
    </fill>
    <fill>
      <patternFill patternType="solid">
        <fgColor rgb="00D35400"/>
      </patternFill>
    </fill>
    <fill>
      <patternFill patternType="solid">
        <fgColor rgb="0027AE60"/>
      </patternFill>
    </fill>
    <fill>
      <patternFill patternType="solid">
        <fgColor rgb="00FEF9E7"/>
      </patternFill>
    </fill>
    <fill>
      <patternFill patternType="solid">
        <fgColor rgb="00D6EAF8"/>
      </patternFill>
    </fill>
    <fill>
      <patternFill patternType="solid">
        <fgColor rgb="00F4ECF7"/>
      </patternFill>
    </fill>
    <fill>
      <patternFill patternType="solid">
        <fgColor rgb="00FADBD8"/>
      </patternFill>
    </fill>
    <fill>
      <patternFill patternType="solid">
        <fgColor rgb="0034495E"/>
      </patternFill>
    </fill>
    <fill>
      <patternFill patternType="solid">
        <fgColor rgb="00D5D8DC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 inden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left" vertical="top" wrapText="1" indent="1"/>
    </xf>
    <xf numFmtId="0" fontId="7" fillId="0" borderId="1" applyAlignment="1" pivotButton="0" quotePrefix="0" xfId="0">
      <alignment horizontal="left" vertical="top" wrapText="1" indent="1"/>
    </xf>
    <xf numFmtId="0" fontId="7" fillId="5" borderId="1" applyAlignment="1" pivotButton="0" quotePrefix="0" xfId="0">
      <alignment horizontal="left" vertical="top" wrapText="1" indent="1"/>
    </xf>
    <xf numFmtId="0" fontId="8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left" vertical="center" wrapText="1" indent="1"/>
    </xf>
    <xf numFmtId="0" fontId="11" fillId="1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0" fillId="6" borderId="0" applyAlignment="1" pivotButton="0" quotePrefix="0" xfId="0">
      <alignment horizontal="left" vertical="center" wrapText="1" indent="1"/>
    </xf>
    <xf numFmtId="0" fontId="9" fillId="0" borderId="1" applyAlignment="1" pivotButton="0" quotePrefix="0" xfId="0">
      <alignment horizontal="left" vertical="center" wrapText="1"/>
    </xf>
    <xf numFmtId="0" fontId="10" fillId="9" borderId="0" applyAlignment="1" pivotButton="0" quotePrefix="0" xfId="0">
      <alignment horizontal="left" vertical="center" wrapText="1" indent="1"/>
    </xf>
    <xf numFmtId="0" fontId="12" fillId="9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 indent="1"/>
    </xf>
    <xf numFmtId="0" fontId="12" fillId="14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left" vertical="center" wrapText="1" indent="1"/>
    </xf>
    <xf numFmtId="0" fontId="12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top" wrapText="1" indent="1"/>
    </xf>
    <xf numFmtId="0" fontId="7" fillId="15" borderId="1" applyAlignment="1" pivotButton="0" quotePrefix="0" xfId="0">
      <alignment horizontal="left" vertical="top" wrapText="1" indent="1"/>
    </xf>
    <xf numFmtId="0" fontId="7" fillId="4" borderId="1" applyAlignment="1" pivotButton="0" quotePrefix="0" xfId="0">
      <alignment horizontal="left" vertical="top" wrapText="1" indent="1"/>
    </xf>
    <xf numFmtId="0" fontId="0" fillId="14" borderId="1" applyAlignment="1" pivotButton="0" quotePrefix="0" xfId="0">
      <alignment horizontal="center" vertical="center" wrapText="1"/>
    </xf>
    <xf numFmtId="0" fontId="8" fillId="16" borderId="1" applyAlignment="1" pivotButton="0" quotePrefix="0" xfId="0">
      <alignment horizontal="center" vertical="center" wrapText="1"/>
    </xf>
    <xf numFmtId="0" fontId="13" fillId="10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top" wrapText="1" indent="1"/>
    </xf>
    <xf numFmtId="0" fontId="13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0" fillId="16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12" fillId="17" borderId="1" applyAlignment="1" pivotButton="0" quotePrefix="0" xfId="0">
      <alignment horizontal="center" vertical="center" wrapText="1"/>
    </xf>
    <xf numFmtId="0" fontId="3" fillId="17" borderId="1" applyAlignment="1" pivotButton="0" quotePrefix="0" xfId="0">
      <alignment horizontal="center" vertical="center" wrapText="1"/>
    </xf>
    <xf numFmtId="0" fontId="0" fillId="1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 indent="1"/>
    </xf>
    <xf numFmtId="0" fontId="3" fillId="12" borderId="1" applyAlignment="1" pivotButton="0" quotePrefix="0" xfId="0">
      <alignment horizontal="center" vertical="center" wrapText="1"/>
    </xf>
    <xf numFmtId="0" fontId="10" fillId="10" borderId="0" applyAlignment="1" pivotButton="0" quotePrefix="0" xfId="0">
      <alignment horizontal="left" vertical="center" wrapText="1" indent="1"/>
    </xf>
    <xf numFmtId="0" fontId="5" fillId="16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left" vertical="center" wrapText="1" indent="1"/>
    </xf>
    <xf numFmtId="0" fontId="5" fillId="4" borderId="1" applyAlignment="1" pivotButton="0" quotePrefix="0" xfId="0">
      <alignment horizontal="center" vertical="center" wrapText="1"/>
    </xf>
    <xf numFmtId="0" fontId="5" fillId="15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D5F5E3"/>
        </patternFill>
      </fill>
    </dxf>
    <dxf>
      <fill>
        <patternFill patternType="solid">
          <fgColor rgb="00FEF9E7"/>
        </patternFill>
      </fill>
    </dxf>
    <dxf>
      <fill>
        <patternFill patternType="solid">
          <fgColor rgb="00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16" customWidth="1" min="3" max="3"/>
    <col width="26" customWidth="1" min="4" max="4"/>
    <col width="30" customWidth="1" min="5" max="5"/>
    <col width="36" customWidth="1" min="6" max="6"/>
    <col width="36" customWidth="1" min="7" max="7"/>
    <col width="22" customWidth="1" min="8" max="8"/>
    <col width="8" customWidth="1" min="9" max="9"/>
  </cols>
  <sheetData>
    <row r="1" ht="44" customHeight="1">
      <c r="A1" s="1" t="inlineStr">
        <is>
          <t>开发阶段规划 — 先做什么后做什么，每步目的是什么、能实现什么</t>
        </is>
      </c>
    </row>
    <row r="2" ht="24" customHeight="1">
      <c r="A2" s="2" t="inlineStr">
        <is>
          <t>按依赖关系排出8个阶段，必须从P1到P8顺序做。每个阶段做完都有"能跑起来看到的东西"。</t>
        </is>
      </c>
    </row>
    <row r="3" ht="30" customHeight="1">
      <c r="A3" s="3" t="inlineStr"/>
      <c r="B3" s="3" t="inlineStr">
        <is>
          <t>阶段</t>
        </is>
      </c>
      <c r="C3" s="3" t="inlineStr">
        <is>
          <t>阶段名称</t>
        </is>
      </c>
      <c r="D3" s="3" t="inlineStr">
        <is>
          <t>做什么（内容）</t>
        </is>
      </c>
      <c r="E3" s="3" t="inlineStr">
        <is>
          <t>目的（为什么先做这个）</t>
        </is>
      </c>
      <c r="F3" s="3" t="inlineStr">
        <is>
          <t>能实现的进展（做完能看到什么）</t>
        </is>
      </c>
      <c r="G3" s="3" t="inlineStr">
        <is>
          <t>验证标准（怎么算做完）</t>
        </is>
      </c>
      <c r="H3" s="3" t="inlineStr">
        <is>
          <t>对应主表编号</t>
        </is>
      </c>
      <c r="I3" s="3" t="inlineStr">
        <is>
          <t>周期</t>
        </is>
      </c>
    </row>
    <row r="4" ht="120" customHeight="1">
      <c r="B4" s="4" t="inlineStr">
        <is>
          <t>P1</t>
        </is>
      </c>
      <c r="C4" s="4" t="inlineStr">
        <is>
          <t>引擎骨架</t>
        </is>
      </c>
      <c r="D4" s="5" t="inlineStr">
        <is>
          <t>渲染循环(Director)
输入系统(Input)
事件总线(EventSystem)
场景管理(SceneManager)
渲染器(Renderer)</t>
        </is>
      </c>
      <c r="E4" s="5" t="inlineStr">
        <is>
          <t>这是整个游戏的地基。没有渲染循环什么也跑不起来，没有输入系统什么也点不了。必须先搭好引擎框架，后面所有功能才能挂上去。</t>
        </is>
      </c>
      <c r="F4" s="6" t="inlineStr">
        <is>
          <t>能看到一个黑色画布在60fps跑
能在画布上画矩形/文字
点屏幕能触发回调
能切换空场景A和空场景B</t>
        </is>
      </c>
      <c r="G4" s="7" t="inlineStr">
        <is>
          <t>①Director.loop 60fps跑通
②点击屏幕console打印坐标
③画矩形和文字能显示
④场景A能切换到场景B</t>
        </is>
      </c>
      <c r="H4" s="8" t="inlineStr">
        <is>
          <t>A1~A5</t>
        </is>
      </c>
      <c r="I4" s="9" t="inlineStr">
        <is>
          <t>1周</t>
        </is>
      </c>
    </row>
    <row r="5" ht="120" customHeight="1">
      <c r="B5" s="10" t="inlineStr">
        <is>
          <t>P2</t>
        </is>
      </c>
      <c r="C5" s="10" t="inlineStr">
        <is>
          <t>数据层</t>
        </is>
      </c>
      <c r="D5" s="5" t="inlineStr">
        <is>
          <t>常量配置(Constants)
卡牌数据表(Cards)
卡组手牌(Deck)
预设卡组(DeckPresets)</t>
        </is>
      </c>
      <c r="E5" s="5" t="inlineStr">
        <is>
          <t>引擎能跑了，但游戏需要数据。卡牌属性、灵力参数、棋盘尺寸等所有数值必须先配置好，后面的战斗逻辑才能读数据创建单位。</t>
        </is>
      </c>
      <c r="F5" s="6" t="inlineStr">
        <is>
          <t>19张卡牌数据完整可查
8张卡组能洗牌+抽牌
能console打印手牌和卡牌属性
改Cards.js数值能立即生效</t>
        </is>
      </c>
      <c r="G5" s="7" t="inlineStr">
        <is>
          <t>①Cards.get(id)返回完整属性
②Deck.init后hand有3张牌
③Deck.draw能抽牌
④canPlay能正确判断灵力</t>
        </is>
      </c>
      <c r="H5" s="8" t="inlineStr">
        <is>
          <t>B1~B4</t>
        </is>
      </c>
      <c r="I5" s="9" t="inlineStr">
        <is>
          <t>1周</t>
        </is>
      </c>
    </row>
    <row r="6" ht="120" customHeight="1">
      <c r="B6" s="11" t="inlineStr">
        <is>
          <t>P3</t>
        </is>
      </c>
      <c r="C6" s="11" t="inlineStr">
        <is>
          <t>核心战斗逻辑</t>
        </is>
      </c>
      <c r="D6" s="5" t="inlineStr">
        <is>
          <t>战斗主循环(BattleLogic)
单位实体(Unit)
移动系统(Movement)
战斗系统(Combat)
★击杀后继续推进★</t>
        </is>
      </c>
      <c r="E6" s="5" t="inlineStr">
        <is>
          <t>这是整个游戏好不好玩的命门。单位能不能走、能不能打、打完能不能继续冲——这3件事决定了游戏核心循环是否成立。必须验证"攻方打得动"。</t>
        </is>
      </c>
      <c r="F6" s="6" t="inlineStr">
        <is>
          <t>★最重要的里程碑★
AI vs AI模拟能跑通
能看到单位在棋盘上移动
能看到单位互相打
能看到单位杀掉敌人后继续冲
能看到单位到大殿造成伤害</t>
        </is>
      </c>
      <c r="G6" s="7" t="inlineStr">
        <is>
          <t>①单位y坐标每帧变化(在走)
②两个单位接触后互扣血
③单位击杀后state=walking继续走
④单位到大殿后大殿血量减少</t>
        </is>
      </c>
      <c r="H6" s="8" t="inlineStr">
        <is>
          <t>C1~C4</t>
        </is>
      </c>
      <c r="I6" s="9" t="inlineStr">
        <is>
          <t>2周</t>
        </is>
      </c>
    </row>
    <row r="7" ht="120" customHeight="1">
      <c r="B7" s="12" t="inlineStr">
        <is>
          <t>P4</t>
        </is>
      </c>
      <c r="C7" s="12" t="inlineStr">
        <is>
          <t>扩展战斗机制</t>
        </is>
      </c>
      <c r="D7" s="5" t="inlineStr">
        <is>
          <t>阵法系统(布阵/攻击/冷却)
法术系统(8种法术效果)
长老技能(4分支随机)
灵力系统(实时回复)
出牌执行
胜负判定
死亡清理</t>
        </is>
      </c>
      <c r="E7" s="5" t="inlineStr">
        <is>
          <t>核心循环跑通了，但只有"走和打"太单调。阵法让守方能防，法术增加策略深度，长老增加变化性，灵力系统驱动出牌节奏。这些让游戏从"能跑"变成"好玩"。</t>
        </is>
      </c>
      <c r="F7" s="6" t="inlineStr">
        <is>
          <t>完整单局能跑通
能布阵拦截(阵法有血量会攻击)
能放法术(8种效果各不相同)
长老每5秒随机放技能
灵力实时回复能出牌
能判定胜负(大殿破/超时)</t>
        </is>
      </c>
      <c r="G7" s="7" t="inlineStr">
        <is>
          <t>①布阵后阵法能攻击经过敌人
②阵法被毁后格子8秒冷却
③8种法术效果各自正确生效
④长老每5秒释放1个随机分支
⑤灵力每2.8秒+1
⑥大殿血量归零能判定胜负</t>
        </is>
      </c>
      <c r="H7" s="8" t="inlineStr">
        <is>
          <t>C5~C11</t>
        </is>
      </c>
      <c r="I7" s="9" t="inlineStr">
        <is>
          <t>2周</t>
        </is>
      </c>
    </row>
    <row r="8" ht="120" customHeight="1">
      <c r="B8" s="13" t="inlineStr">
        <is>
          <t>P5</t>
        </is>
      </c>
      <c r="C8" s="13" t="inlineStr">
        <is>
          <t>AI对手</t>
        </is>
      </c>
      <c r="D8" s="5" t="inlineStr">
        <is>
          <t>AI决策(灵力管理/出牌/布阵)
3档难度(简单/普通/困难)</t>
        </is>
      </c>
      <c r="E8" s="5" t="inlineStr">
        <is>
          <t>战斗逻辑完整了，但需要对手。没有AI玩家无法测试游戏好不好玩。AI不需要完美，但要能模拟真人节奏出牌布阵。</t>
        </is>
      </c>
      <c r="F8" s="6" t="inlineStr">
        <is>
          <t>能和AI完整打一局(纯逻辑)
AI会出兵也会布阵
AI会根据血量调整攻守
简单AI弱/困难AI强有明显差异</t>
        </is>
      </c>
      <c r="G8" s="7" t="inlineStr">
        <is>
          <t>①AI每2.5秒(普通)决策一次
②AI会根据大殿血量调攻守比
③简单/普通/困难行为有差异
④AI vs AI能完整跑完一局不卡死</t>
        </is>
      </c>
      <c r="H8" s="8" t="inlineStr">
        <is>
          <t>D1</t>
        </is>
      </c>
      <c r="I8" s="9" t="inlineStr">
        <is>
          <t>1周</t>
        </is>
      </c>
    </row>
    <row r="9" ht="120" customHeight="1">
      <c r="B9" s="14" t="inlineStr">
        <is>
          <t>P6</t>
        </is>
      </c>
      <c r="C9" s="14" t="inlineStr">
        <is>
          <t>渲染与交互</t>
        </is>
      </c>
      <c r="D9" s="5" t="inlineStr">
        <is>
          <t>战斗场景(分层渲染)
背景/大殿/单位/阵法渲染
手牌栏/灵力条/HUD
出牌交互(选牌→选目标)
结算场景
新手引导
粒子特效
音频</t>
        </is>
      </c>
      <c r="E9" s="5" t="inlineStr">
        <is>
          <t>到这一步为止游戏都是"纯逻辑"。P6把所有逻辑变成"能看到能操作的画面"。这是从"程序员眼里的游戏"变成"玩家眼里的游戏"的关键。</t>
        </is>
      </c>
      <c r="F9" s="6" t="inlineStr">
        <is>
          <t>★玩家可见里程碑★
能在微信开发者工具里看到画面
能看到棋盘/大殿/单位/阵法
能点手牌出牌、点格子布阵
能看到灵力条/血条/计时器
战斗结束有结算页
新手引导能走通4步</t>
        </is>
      </c>
      <c r="G9" s="7" t="inlineStr">
        <is>
          <t>①真机/开发者工具能显示画面
②点手牌→选目标→出牌流程通
③单位移动/交战有视觉反馈
④大殿受击有震动+闪烁
⑤结算页显示胜负+摧毁度
⑥新手引导4步走通</t>
        </is>
      </c>
      <c r="H9" s="8" t="inlineStr">
        <is>
          <t>E1~E11, A6~A7</t>
        </is>
      </c>
      <c r="I9" s="9" t="inlineStr">
        <is>
          <t>2周</t>
        </is>
      </c>
    </row>
    <row r="10" ht="120" customHeight="1">
      <c r="B10" s="15" t="inlineStr">
        <is>
          <t>P7</t>
        </is>
      </c>
      <c r="C10" s="15" t="inlineStr">
        <is>
          <t>测试与平衡调优</t>
        </is>
      </c>
      <c r="D10" s="5" t="inlineStr">
        <is>
          <t>纯逻辑模拟器(AI vs AI 10局)
平衡性调优(参数调整)
性能测试(60fps/内存)
真机测试
Bug修复</t>
        </is>
      </c>
      <c r="E10" s="5" t="inlineStr">
        <is>
          <t>游戏能玩了，但好不好玩是另一回事。P7用模拟器跑大量对局验证平衡——攻方能不能打进去、守方能不能防下来、有没有0%死局。</t>
        </is>
      </c>
      <c r="F10" s="6" t="inlineStr">
        <is>
          <t>★平衡达标里程碑★
模拟10局输出摧毁度/胜率数据
参数调到双方摧毁度20~70%
真机60fps不卡
无崩溃无死锁</t>
        </is>
      </c>
      <c r="G10" s="7" t="inlineStr">
        <is>
          <t>①模拟10局: 摧毁度20~70%
②胜率40~60%
③0%摧毁度对局&lt;10%
④90%对局150~210秒结束
⑤真机60fps同屏20单位不卡</t>
        </is>
      </c>
      <c r="H10" s="8" t="inlineStr">
        <is>
          <t>全部联调</t>
        </is>
      </c>
      <c r="I10" s="9" t="inlineStr">
        <is>
          <t>1.5周</t>
        </is>
      </c>
    </row>
    <row r="11" ht="120" customHeight="1">
      <c r="B11" s="16" t="inlineStr">
        <is>
          <t>P8</t>
        </is>
      </c>
      <c r="C11" s="16" t="inlineStr">
        <is>
          <t>提交审核上线</t>
        </is>
      </c>
      <c r="D11" s="5" t="inlineStr">
        <is>
          <t>最终Bug修复
微信小游戏审核提交
审核反馈处理
正式上线</t>
        </is>
      </c>
      <c r="E11" s="5" t="inlineStr">
        <is>
          <t>游戏做完要上线才能让玩家玩到。修仙题材过审风险低但仍需确保无违规内容。</t>
        </is>
      </c>
      <c r="F11" s="6" t="inlineStr">
        <is>
          <t>★V1上线里程碑★
微信审核通过
玩家能搜索到并玩到游戏
V1 MVP完成</t>
        </is>
      </c>
      <c r="G11" s="7" t="inlineStr">
        <is>
          <t>①微信审核通过
②玩家能正常游玩
③无严重Bug
④新手引导完成率&gt;80%</t>
        </is>
      </c>
      <c r="H11" s="8" t="inlineStr">
        <is>
          <t>—</t>
        </is>
      </c>
      <c r="I11" s="9" t="inlineStr">
        <is>
          <t>1周</t>
        </is>
      </c>
    </row>
    <row r="13" ht="30" customHeight="1">
      <c r="B13" s="17" t="inlineStr">
        <is>
          <t>P1→P2→P3→P4→P5→P6→P7→P8 （必须按顺序，后面依赖前面）</t>
        </is>
      </c>
    </row>
  </sheetData>
  <mergeCells count="3">
    <mergeCell ref="A1:I1"/>
    <mergeCell ref="B13:I1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4" customWidth="1" min="7" max="7"/>
  </cols>
  <sheetData>
    <row r="1" ht="44" customHeight="1">
      <c r="A1" s="1" t="inlineStr">
        <is>
          <t>《宗门论道》 — 游戏设计思路与玩法</t>
        </is>
      </c>
    </row>
    <row r="3" ht="30" customHeight="1">
      <c r="A3" s="18" t="inlineStr">
        <is>
          <t>一、游戏概述</t>
        </is>
      </c>
    </row>
    <row r="4" ht="28" customHeight="1">
      <c r="B4" s="19" t="inlineStr">
        <is>
          <t>游戏名称</t>
        </is>
      </c>
      <c r="C4" s="20" t="inlineStr">
        <is>
          <t>宗门论道（暂定）</t>
        </is>
      </c>
    </row>
    <row r="5" ht="28" customHeight="1">
      <c r="B5" s="19" t="inlineStr">
        <is>
          <t>游戏类型</t>
        </is>
      </c>
      <c r="C5" s="20" t="inlineStr">
        <is>
          <t>实时策略卡牌（RTS-lite + 卡牌费用制）</t>
        </is>
      </c>
    </row>
    <row r="6" ht="28" customHeight="1">
      <c r="B6" s="19" t="inlineStr">
        <is>
          <t>游戏题材</t>
        </is>
      </c>
      <c r="C6" s="20" t="inlineStr">
        <is>
          <t>东方修仙 / 宗门大战</t>
        </is>
      </c>
    </row>
    <row r="7" ht="28" customHeight="1">
      <c r="B7" s="19" t="inlineStr">
        <is>
          <t>运行平台</t>
        </is>
      </c>
      <c r="C7" s="20" t="inlineStr">
        <is>
          <t>微信小游戏（Canvas 2D 渲染）</t>
        </is>
      </c>
    </row>
    <row r="8" ht="28" customHeight="1">
      <c r="B8" s="19" t="inlineStr">
        <is>
          <t>单局时长</t>
        </is>
      </c>
      <c r="C8" s="20" t="inlineStr">
        <is>
          <t>3~5分钟（180秒正赛+60秒加时）</t>
        </is>
      </c>
    </row>
    <row r="9" ht="28" customHeight="1">
      <c r="B9" s="19" t="inlineStr">
        <is>
          <t>目标用户</t>
        </is>
      </c>
      <c r="C9" s="20" t="inlineStr">
        <is>
          <t>18~35岁，喜欢轻度策略、修仙题材、碎片化对战的玩家</t>
        </is>
      </c>
    </row>
    <row r="10" ht="28" customHeight="1">
      <c r="B10" s="19" t="inlineStr">
        <is>
          <t>一句话简介</t>
        </is>
      </c>
      <c r="C10" s="20" t="inlineStr">
        <is>
          <t>皇室战争式的实时卡牌攻防，修仙皮——你与对手各据山门一座，实时派弟子出征、布阵拦截、长老施法，摧毁对方宗门大殿者胜。</t>
        </is>
      </c>
    </row>
    <row r="12" ht="30" customHeight="1">
      <c r="A12" s="21" t="inlineStr">
        <is>
          <t>二、核心玩法 — 实时双线互推</t>
        </is>
      </c>
    </row>
    <row r="13" ht="24" customHeight="1">
      <c r="B13" s="20" t="inlineStr">
        <is>
          <t>你和对手各据一座宗门大殿（30血），实时同时出兵互攻，谁先拆掉对方大殿谁赢，3分钟时限。</t>
        </is>
      </c>
    </row>
    <row r="14" ht="8" customHeight="1">
      <c r="B14" s="20" t="inlineStr"/>
    </row>
    <row r="15" ht="24" customHeight="1">
      <c r="B15" s="22" t="inlineStr">
        <is>
          <t>【你做什么】</t>
        </is>
      </c>
    </row>
    <row r="16" ht="24" customHeight="1">
      <c r="B16" s="20" t="inlineStr">
        <is>
          <t xml:space="preserve">  1. 出兵：花灵力出弟子，单位自动沿山道推进，遇敌自动交战，杀完继续冲</t>
        </is>
      </c>
    </row>
    <row r="17" ht="24" customHeight="1">
      <c r="B17" s="20" t="inlineStr">
        <is>
          <t xml:space="preserve">  2. 布阵：在主路两侧阵法区布阵法（不动，拦截+攻击经过的敌人），剑阵双方通用</t>
        </is>
      </c>
    </row>
    <row r="18" ht="24" customHeight="1">
      <c r="B18" s="20" t="inlineStr">
        <is>
          <t xml:space="preserve">  3. 施法：放法术（五雷正法范围炸、万剑归宗全队加速、金钟罩大殿免疫等）</t>
        </is>
      </c>
    </row>
    <row r="19" ht="24" customHeight="1">
      <c r="B19" s="20" t="inlineStr">
        <is>
          <t xml:space="preserve">  4. 出长老：花6费出金丹长老，每5秒随机释放飞剑/丹药/符箓/御兽分支技能</t>
        </is>
      </c>
    </row>
    <row r="20" ht="8" customHeight="1">
      <c r="B20" s="20" t="inlineStr"/>
    </row>
    <row r="21" ht="24" customHeight="1">
      <c r="B21" s="22" t="inlineStr">
        <is>
          <t>【灵力系统】</t>
        </is>
      </c>
    </row>
    <row r="22" ht="24" customHeight="1">
      <c r="B22" s="20" t="inlineStr">
        <is>
          <t xml:space="preserve">  实时回复：每2.8秒+1，开局上限5随时间涨到10。灵力不够出不了牌。</t>
        </is>
      </c>
    </row>
    <row r="23" ht="8" customHeight="1">
      <c r="B23" s="20" t="inlineStr"/>
    </row>
    <row r="24" ht="24" customHeight="1">
      <c r="B24" s="22" t="inlineStr">
        <is>
          <t>【地图视角】折中方案：逻辑上下直推 + 视觉山道攻山 + 两侧阵法区</t>
        </is>
      </c>
    </row>
    <row r="26" ht="30" customHeight="1">
      <c r="A26" s="23" t="inlineStr">
        <is>
          <t>三、设计思路 — 为什么这么设计</t>
        </is>
      </c>
    </row>
    <row r="27" ht="26" customHeight="1">
      <c r="B27" s="24" t="inlineStr">
        <is>
          <t>问</t>
        </is>
      </c>
      <c r="C27" s="25" t="inlineStr">
        <is>
          <t>为什么做实时不做回合制？</t>
        </is>
      </c>
    </row>
    <row r="28" ht="50" customHeight="1">
      <c r="B28" s="26" t="inlineStr">
        <is>
          <t>答</t>
        </is>
      </c>
      <c r="C28" s="5" t="inlineStr">
        <is>
          <t>回合制等对方出招很无聊。实时制双方同时操作互不等待，每秒都有决策压力，紧张感是核心体验。CR验证了这一点。</t>
        </is>
      </c>
    </row>
    <row r="29" ht="26" customHeight="1">
      <c r="B29" s="24" t="inlineStr">
        <is>
          <t>问</t>
        </is>
      </c>
      <c r="C29" s="25" t="inlineStr">
        <is>
          <t>为什么"击杀后继续推进"？</t>
        </is>
      </c>
    </row>
    <row r="30" ht="50" customHeight="1">
      <c r="B30" s="26" t="inlineStr">
        <is>
          <t>答</t>
        </is>
      </c>
      <c r="C30" s="5" t="inlineStr">
        <is>
          <t>★最核心的设计修复★。旧版"遇阵即停打完即没"导致攻方永远过不去，0%摧毁度。改成击杀后不消失继续冲，攻方才有突破感。</t>
        </is>
      </c>
    </row>
    <row r="31" ht="26" customHeight="1">
      <c r="B31" s="24" t="inlineStr">
        <is>
          <t>问</t>
        </is>
      </c>
      <c r="C31" s="25" t="inlineStr">
        <is>
          <t>为什么阵法有8秒冷却？</t>
        </is>
      </c>
    </row>
    <row r="32" ht="50" customHeight="1">
      <c r="B32" s="26" t="inlineStr">
        <is>
          <t>答</t>
        </is>
      </c>
      <c r="C32" s="5" t="inlineStr">
        <is>
          <t>防止守方无限补阵堵路。阵被破后该格8秒不能再布，攻方有突破窗口。创造"攻守博弈"节奏。</t>
        </is>
      </c>
    </row>
    <row r="33" ht="26" customHeight="1">
      <c r="B33" s="24" t="inlineStr">
        <is>
          <t>问</t>
        </is>
      </c>
      <c r="C33" s="25" t="inlineStr">
        <is>
          <t>为什么用折中视角？</t>
        </is>
      </c>
    </row>
    <row r="34" ht="50" customHeight="1">
      <c r="B34" s="26" t="inlineStr">
        <is>
          <t>答</t>
        </is>
      </c>
      <c r="C34" s="5" t="inlineStr">
        <is>
          <t>纯斜45度等距视角美术成本3~4倍，碰撞复杂。折中方案：逻辑上下直推（实现简单），视觉做成山道攻山（保留修仙味）。</t>
        </is>
      </c>
    </row>
    <row r="35" ht="26" customHeight="1">
      <c r="B35" s="24" t="inlineStr">
        <is>
          <t>问</t>
        </is>
      </c>
      <c r="C35" s="25" t="inlineStr">
        <is>
          <t>为什么金丹长老是随机技能？</t>
        </is>
      </c>
    </row>
    <row r="36" ht="50" customHeight="1">
      <c r="B36" s="26" t="inlineStr">
        <is>
          <t>答</t>
        </is>
      </c>
      <c r="C36" s="5" t="inlineStr">
        <is>
          <t>固定技能会变成"最优解"。随机性增加不可预测性，每次出长老都有惊喜/惊吓，增加对局变化和观赏性。</t>
        </is>
      </c>
    </row>
    <row r="37" ht="26" customHeight="1">
      <c r="B37" s="24" t="inlineStr">
        <is>
          <t>问</t>
        </is>
      </c>
      <c r="C37" s="25" t="inlineStr">
        <is>
          <t>为什么剑阵双方通用？</t>
        </is>
      </c>
    </row>
    <row r="38" ht="50" customHeight="1">
      <c r="B38" s="26" t="inlineStr">
        <is>
          <t>答</t>
        </is>
      </c>
      <c r="C38" s="5" t="inlineStr">
        <is>
          <t>阵法只能防守时攻方缺乏掩护。双方通用后攻方可铺阵掩护推进，守方布阵拦截，策略空间更大。</t>
        </is>
      </c>
    </row>
    <row r="39" ht="26" customHeight="1">
      <c r="B39" s="24" t="inlineStr">
        <is>
          <t>问</t>
        </is>
      </c>
      <c r="C39" s="25" t="inlineStr">
        <is>
          <t>为什么选修仙题材？</t>
        </is>
      </c>
    </row>
    <row r="40" ht="50" customHeight="1">
      <c r="B40" s="26" t="inlineStr">
        <is>
          <t>答</t>
        </is>
      </c>
      <c r="C40" s="5" t="inlineStr">
        <is>
          <t>①国内过审零风险②修仙认知度高③"攻山"主题与推塔玩法天然契合④市场有验证。现代战争过审风险极高。</t>
        </is>
      </c>
    </row>
    <row r="41" ht="26" customHeight="1">
      <c r="B41" s="24" t="inlineStr">
        <is>
          <t>问</t>
        </is>
      </c>
      <c r="C41" s="25" t="inlineStr">
        <is>
          <t>为什么V1先做3个流派？</t>
        </is>
      </c>
    </row>
    <row r="42" ht="50" customHeight="1">
      <c r="B42" s="26" t="inlineStr">
        <is>
          <t>答</t>
        </is>
      </c>
      <c r="C42" s="5" t="inlineStr">
        <is>
          <t>MVP原则：用最少的验证核心玩法。剑修+符修+阵修覆盖攻防基本循环，验证好玩后再加更多。</t>
        </is>
      </c>
    </row>
  </sheetData>
  <mergeCells count="55">
    <mergeCell ref="B40"/>
    <mergeCell ref="C39:F39"/>
    <mergeCell ref="C8:F8"/>
    <mergeCell ref="B16:F16"/>
    <mergeCell ref="B30"/>
    <mergeCell ref="B33"/>
    <mergeCell ref="C7:F7"/>
    <mergeCell ref="C38:F38"/>
    <mergeCell ref="B22:F22"/>
    <mergeCell ref="C32:F32"/>
    <mergeCell ref="B36"/>
    <mergeCell ref="C37:F37"/>
    <mergeCell ref="B18:F18"/>
    <mergeCell ref="C28:F28"/>
    <mergeCell ref="B41"/>
    <mergeCell ref="B21:F21"/>
    <mergeCell ref="B32"/>
    <mergeCell ref="B35"/>
    <mergeCell ref="C34:F34"/>
    <mergeCell ref="C6:F6"/>
    <mergeCell ref="C30:F30"/>
    <mergeCell ref="B23:F23"/>
    <mergeCell ref="C33:F33"/>
    <mergeCell ref="B14:F14"/>
    <mergeCell ref="C5:F5"/>
    <mergeCell ref="C42:F42"/>
    <mergeCell ref="B17:F17"/>
    <mergeCell ref="B13:F13"/>
    <mergeCell ref="B31"/>
    <mergeCell ref="B27"/>
    <mergeCell ref="A1:G1"/>
    <mergeCell ref="C35:F35"/>
    <mergeCell ref="C4:F4"/>
    <mergeCell ref="B39"/>
    <mergeCell ref="B19:F19"/>
    <mergeCell ref="C29:F29"/>
    <mergeCell ref="B42"/>
    <mergeCell ref="C10:F10"/>
    <mergeCell ref="C41:F41"/>
    <mergeCell ref="C40:F40"/>
    <mergeCell ref="C9:F9"/>
    <mergeCell ref="C31:F31"/>
    <mergeCell ref="B24:F24"/>
    <mergeCell ref="B20:F20"/>
    <mergeCell ref="A3:G3"/>
    <mergeCell ref="B15:F15"/>
    <mergeCell ref="B29"/>
    <mergeCell ref="A12:G12"/>
    <mergeCell ref="A26:G26"/>
    <mergeCell ref="B38"/>
    <mergeCell ref="B34"/>
    <mergeCell ref="B28"/>
    <mergeCell ref="C27:F27"/>
    <mergeCell ref="B37"/>
    <mergeCell ref="C36:F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6" customWidth="1" min="3" max="3"/>
    <col width="12" customWidth="1" min="4" max="4"/>
    <col width="14" customWidth="1" min="5" max="5"/>
    <col width="18" customWidth="1" min="6" max="6"/>
    <col width="44" customWidth="1" min="7" max="7"/>
    <col width="24" customWidth="1" min="8" max="8"/>
    <col width="22" customWidth="1" min="9" max="9"/>
    <col width="20" customWidth="1" min="10" max="10"/>
    <col width="6" customWidth="1" min="11" max="11"/>
    <col width="8" customWidth="1" min="12" max="12"/>
  </cols>
  <sheetData>
    <row r="1" ht="44" customHeight="1">
      <c r="A1" s="1" t="inlineStr">
        <is>
          <t>开发主表 — 从系统到函数，逐层展开（含阶段+文件路径）</t>
        </is>
      </c>
    </row>
    <row r="2" ht="30" customHeight="1">
      <c r="A2" s="3" t="inlineStr">
        <is>
          <t>层级</t>
        </is>
      </c>
      <c r="B2" s="3" t="inlineStr">
        <is>
          <t>编号</t>
        </is>
      </c>
      <c r="C2" s="3" t="inlineStr">
        <is>
          <t>阶段</t>
        </is>
      </c>
      <c r="D2" s="3" t="inlineStr">
        <is>
          <t>L1 系统</t>
        </is>
      </c>
      <c r="E2" s="3" t="inlineStr">
        <is>
          <t>L2 模块</t>
        </is>
      </c>
      <c r="F2" s="3" t="inlineStr">
        <is>
          <t>L3 子功能</t>
        </is>
      </c>
      <c r="G2" s="3" t="inlineStr">
        <is>
          <t>L4 实现原理</t>
        </is>
      </c>
      <c r="H2" s="3" t="inlineStr">
        <is>
          <t>L5 函数</t>
        </is>
      </c>
      <c r="I2" s="3" t="inlineStr">
        <is>
          <t>文件路径</t>
        </is>
      </c>
      <c r="J2" s="3" t="inlineStr">
        <is>
          <t>输入 → 输出</t>
        </is>
      </c>
      <c r="K2" s="3" t="inlineStr">
        <is>
          <t>版本</t>
        </is>
      </c>
      <c r="L2" s="3" t="inlineStr">
        <is>
          <t>状态</t>
        </is>
      </c>
    </row>
    <row r="3" ht="32" customHeight="1">
      <c r="A3" s="27" t="inlineStr">
        <is>
          <t>L1
系统</t>
        </is>
      </c>
      <c r="B3" s="28" t="inlineStr"/>
      <c r="C3" s="9" t="inlineStr"/>
      <c r="D3" s="29" t="inlineStr">
        <is>
          <t>A.引擎框架</t>
        </is>
      </c>
      <c r="E3" s="30" t="inlineStr"/>
      <c r="F3" s="30" t="inlineStr"/>
      <c r="G3" s="30" t="inlineStr"/>
      <c r="H3" s="30" t="inlineStr"/>
      <c r="I3" s="30" t="inlineStr"/>
      <c r="J3" s="30" t="inlineStr"/>
      <c r="K3" s="30" t="inlineStr"/>
      <c r="L3" s="30" t="inlineStr"/>
    </row>
    <row r="4" ht="24" customHeight="1">
      <c r="A4" s="31" t="inlineStr">
        <is>
          <t>L2
模块</t>
        </is>
      </c>
      <c r="B4" s="28" t="inlineStr">
        <is>
          <t>A1</t>
        </is>
      </c>
      <c r="C4" s="32" t="inlineStr">
        <is>
          <t>P1</t>
        </is>
      </c>
      <c r="D4" s="30" t="inlineStr"/>
      <c r="E4" s="33" t="inlineStr">
        <is>
          <t>A1.渲染循环</t>
        </is>
      </c>
      <c r="F4" s="30" t="inlineStr"/>
      <c r="G4" s="30" t="inlineStr"/>
      <c r="H4" s="30" t="inlineStr"/>
      <c r="I4" s="30" t="inlineStr"/>
      <c r="J4" s="30" t="inlineStr"/>
      <c r="K4" s="30" t="inlineStr">
        <is>
          <t>V1</t>
        </is>
      </c>
      <c r="L4" s="30" t="inlineStr"/>
    </row>
    <row r="5" ht="56" customHeight="1">
      <c r="A5" s="34" t="inlineStr">
        <is>
          <t>L3
功能</t>
        </is>
      </c>
      <c r="B5" s="28" t="inlineStr">
        <is>
          <t>A1.01</t>
        </is>
      </c>
      <c r="C5" s="32" t="inlineStr">
        <is>
          <t>P1</t>
        </is>
      </c>
      <c r="D5" s="30" t="inlineStr"/>
      <c r="E5" s="30" t="inlineStr">
        <is>
          <t>A1.渲染循环</t>
        </is>
      </c>
      <c r="F5" s="35" t="inlineStr">
        <is>
          <t>主循环驱动</t>
        </is>
      </c>
      <c r="G5" s="36" t="inlineStr">
        <is>
          <t>requestAnimationFrame((ts)=&gt;{ dt=(ts-lastTime)/1000; dt=Math.min(dt,0.033); this.update(dt); this.render(); this.lastTime=ts; requestAnimationFrame下一帧 })。lastTime初始=0，第一帧dt可能异常大，用Math.min钳制。running=false时停止循环。</t>
        </is>
      </c>
      <c r="H5" s="37" t="inlineStr">
        <is>
          <t>Director.loop(ts)</t>
        </is>
      </c>
      <c r="I5" s="7" t="inlineStr">
        <is>
          <t>js/core/Director.js</t>
        </is>
      </c>
      <c r="J5" s="7" t="inlineStr">
        <is>
          <t>ts:number → void</t>
        </is>
      </c>
      <c r="K5" s="38" t="inlineStr">
        <is>
          <t>V1</t>
        </is>
      </c>
      <c r="L5" s="39" t="inlineStr">
        <is>
          <t>待办</t>
        </is>
      </c>
    </row>
    <row r="6" ht="56" customHeight="1">
      <c r="A6" s="34" t="inlineStr">
        <is>
          <t>L3
功能</t>
        </is>
      </c>
      <c r="B6" s="28" t="inlineStr">
        <is>
          <t>A1.02</t>
        </is>
      </c>
      <c r="C6" s="32" t="inlineStr">
        <is>
          <t>P1</t>
        </is>
      </c>
      <c r="D6" s="30" t="inlineStr"/>
      <c r="E6" s="30" t="inlineStr">
        <is>
          <t>A1.渲染循环</t>
        </is>
      </c>
      <c r="F6" s="35" t="inlineStr">
        <is>
          <t>逻辑更新</t>
        </is>
      </c>
      <c r="G6" s="36" t="inlineStr">
        <is>
          <t>let scene=this.sceneManager.current; if(scene) scene.onUpdate(dt)。若scene为null则跳过。</t>
        </is>
      </c>
      <c r="H6" s="37" t="inlineStr">
        <is>
          <t>Director.update(dt)</t>
        </is>
      </c>
      <c r="I6" s="7" t="inlineStr">
        <is>
          <t>js/core/Director.js</t>
        </is>
      </c>
      <c r="J6" s="7" t="inlineStr">
        <is>
          <t>dt:number → void</t>
        </is>
      </c>
      <c r="K6" s="38" t="inlineStr">
        <is>
          <t>V1</t>
        </is>
      </c>
      <c r="L6" s="39" t="inlineStr">
        <is>
          <t>待办</t>
        </is>
      </c>
    </row>
    <row r="7" ht="56" customHeight="1">
      <c r="A7" s="34" t="inlineStr">
        <is>
          <t>L3
功能</t>
        </is>
      </c>
      <c r="B7" s="28" t="inlineStr">
        <is>
          <t>A1.03</t>
        </is>
      </c>
      <c r="C7" s="32" t="inlineStr">
        <is>
          <t>P1</t>
        </is>
      </c>
      <c r="D7" s="30" t="inlineStr"/>
      <c r="E7" s="30" t="inlineStr">
        <is>
          <t>A1.渲染循环</t>
        </is>
      </c>
      <c r="F7" s="35" t="inlineStr">
        <is>
          <t>画面渲染</t>
        </is>
      </c>
      <c r="G7" s="36" t="inlineStr">
        <is>
          <t>let ctx=this.canvas.getContext("2d"); ctx.clearRect(0,0,W,H); let scene=...; if(scene) scene.onRender(ctx)。清屏后调用场景渲染。</t>
        </is>
      </c>
      <c r="H7" s="37" t="inlineStr">
        <is>
          <t>Director.render()</t>
        </is>
      </c>
      <c r="I7" s="7" t="inlineStr">
        <is>
          <t>js/core/Director.js</t>
        </is>
      </c>
      <c r="J7" s="7" t="inlineStr">
        <is>
          <t>void → void</t>
        </is>
      </c>
      <c r="K7" s="38" t="inlineStr">
        <is>
          <t>V1</t>
        </is>
      </c>
      <c r="L7" s="39" t="inlineStr">
        <is>
          <t>待办</t>
        </is>
      </c>
    </row>
    <row r="8" ht="56" customHeight="1">
      <c r="A8" s="34" t="inlineStr">
        <is>
          <t>L3
功能</t>
        </is>
      </c>
      <c r="B8" s="28" t="inlineStr">
        <is>
          <t>A1.04</t>
        </is>
      </c>
      <c r="C8" s="32" t="inlineStr">
        <is>
          <t>P1</t>
        </is>
      </c>
      <c r="D8" s="30" t="inlineStr"/>
      <c r="E8" s="30" t="inlineStr">
        <is>
          <t>A1.渲染循环</t>
        </is>
      </c>
      <c r="F8" s="35" t="inlineStr">
        <is>
          <t>引擎初始化</t>
        </is>
      </c>
      <c r="G8" s="36" t="inlineStr">
        <is>
          <t>this.canvas=wx.createCanvas(); this.ctx=canvas.getContext("2d"); 获取屏幕尺寸wx.getSystemInfoSync().screenWidth/Height; this.sceneManager=new SceneManager(); this.input=new Input(); this.input.init(); this.start()。</t>
        </is>
      </c>
      <c r="H8" s="37" t="inlineStr">
        <is>
          <t>Director.init()</t>
        </is>
      </c>
      <c r="I8" s="7" t="inlineStr">
        <is>
          <t>js/core/Director.js</t>
        </is>
      </c>
      <c r="J8" s="7" t="inlineStr">
        <is>
          <t>void → void</t>
        </is>
      </c>
      <c r="K8" s="38" t="inlineStr">
        <is>
          <t>V1</t>
        </is>
      </c>
      <c r="L8" s="39" t="inlineStr">
        <is>
          <t>待办</t>
        </is>
      </c>
    </row>
    <row r="9" ht="24" customHeight="1">
      <c r="A9" s="31" t="inlineStr">
        <is>
          <t>L2
模块</t>
        </is>
      </c>
      <c r="B9" s="28" t="inlineStr">
        <is>
          <t>A2</t>
        </is>
      </c>
      <c r="C9" s="32" t="inlineStr">
        <is>
          <t>P1</t>
        </is>
      </c>
      <c r="D9" s="30" t="inlineStr"/>
      <c r="E9" s="33" t="inlineStr">
        <is>
          <t>A2.输入系统</t>
        </is>
      </c>
      <c r="F9" s="30" t="inlineStr"/>
      <c r="G9" s="30" t="inlineStr"/>
      <c r="H9" s="30" t="inlineStr"/>
      <c r="I9" s="30" t="inlineStr"/>
      <c r="J9" s="30" t="inlineStr"/>
      <c r="K9" s="30" t="inlineStr">
        <is>
          <t>V1</t>
        </is>
      </c>
      <c r="L9" s="30" t="inlineStr"/>
    </row>
    <row r="10" ht="56" customHeight="1">
      <c r="A10" s="34" t="inlineStr">
        <is>
          <t>L3
功能</t>
        </is>
      </c>
      <c r="B10" s="28" t="inlineStr">
        <is>
          <t>A2.01</t>
        </is>
      </c>
      <c r="C10" s="32" t="inlineStr">
        <is>
          <t>P1</t>
        </is>
      </c>
      <c r="D10" s="30" t="inlineStr"/>
      <c r="E10" s="30" t="inlineStr">
        <is>
          <t>A2.输入系统</t>
        </is>
      </c>
      <c r="F10" s="35" t="inlineStr">
        <is>
          <t>触摸监听</t>
        </is>
      </c>
      <c r="G10" s="36" t="inlineStr">
        <is>
          <t>wx.onTouchStart((e)=&gt;this.onTouchStart(e.touches[0].clientX, e.touches[0].clientY)); 同理onTouchEnd。坐标从e.touches[0]取。</t>
        </is>
      </c>
      <c r="H10" s="37" t="inlineStr">
        <is>
          <t>Input.init()</t>
        </is>
      </c>
      <c r="I10" s="7" t="inlineStr">
        <is>
          <t>js/core/Input.js</t>
        </is>
      </c>
      <c r="J10" s="7" t="inlineStr">
        <is>
          <t>void → void</t>
        </is>
      </c>
      <c r="K10" s="38" t="inlineStr">
        <is>
          <t>V1</t>
        </is>
      </c>
      <c r="L10" s="39" t="inlineStr">
        <is>
          <t>待办</t>
        </is>
      </c>
    </row>
    <row r="11" ht="56" customHeight="1">
      <c r="A11" s="34" t="inlineStr">
        <is>
          <t>L3
功能</t>
        </is>
      </c>
      <c r="B11" s="28" t="inlineStr">
        <is>
          <t>A2.02</t>
        </is>
      </c>
      <c r="C11" s="32" t="inlineStr">
        <is>
          <t>P1</t>
        </is>
      </c>
      <c r="D11" s="30" t="inlineStr"/>
      <c r="E11" s="30" t="inlineStr">
        <is>
          <t>A2.输入系统</t>
        </is>
      </c>
      <c r="F11" s="35" t="inlineStr">
        <is>
          <t>点击区域注册</t>
        </is>
      </c>
      <c r="G11" s="36" t="inlineStr">
        <is>
          <t>this.regions.push({id,x,y,w,h,cb})。id用于取消注册。场景onEnter时注册，onExit时clear。</t>
        </is>
      </c>
      <c r="H11" s="37" t="inlineStr">
        <is>
          <t>Input.register(id,x,y,w,h,cb)</t>
        </is>
      </c>
      <c r="I11" s="7" t="inlineStr">
        <is>
          <t>js/core/Input.js</t>
        </is>
      </c>
      <c r="J11" s="7" t="inlineStr">
        <is>
          <t>id+坐标+回调 → void</t>
        </is>
      </c>
      <c r="K11" s="38" t="inlineStr">
        <is>
          <t>V1</t>
        </is>
      </c>
      <c r="L11" s="39" t="inlineStr">
        <is>
          <t>待办</t>
        </is>
      </c>
    </row>
    <row r="12" ht="56" customHeight="1">
      <c r="A12" s="34" t="inlineStr">
        <is>
          <t>L3
功能</t>
        </is>
      </c>
      <c r="B12" s="28" t="inlineStr">
        <is>
          <t>A2.03</t>
        </is>
      </c>
      <c r="C12" s="32" t="inlineStr">
        <is>
          <t>P1</t>
        </is>
      </c>
      <c r="D12" s="30" t="inlineStr"/>
      <c r="E12" s="30" t="inlineStr">
        <is>
          <t>A2.输入系统</t>
        </is>
      </c>
      <c r="F12" s="35" t="inlineStr">
        <is>
          <t>命中检测</t>
        </is>
      </c>
      <c r="G12" s="36" t="inlineStr">
        <is>
          <t>for(let r of this.regions){ if(tx&gt;=r.x &amp;&amp; tx&lt;=r.x+r.w &amp;&amp; ty&gt;=r.y &amp;&amp; ty&lt;=r.y+r.h){ r.cb(tx,ty); break } }。命中第一个就break。</t>
        </is>
      </c>
      <c r="H12" s="37" t="inlineStr">
        <is>
          <t>Input.onTouchStart(tx,ty)</t>
        </is>
      </c>
      <c r="I12" s="7" t="inlineStr">
        <is>
          <t>js/core/Input.js</t>
        </is>
      </c>
      <c r="J12" s="7" t="inlineStr">
        <is>
          <t>坐标 → 触发cb</t>
        </is>
      </c>
      <c r="K12" s="38" t="inlineStr">
        <is>
          <t>V1</t>
        </is>
      </c>
      <c r="L12" s="39" t="inlineStr">
        <is>
          <t>待办</t>
        </is>
      </c>
    </row>
    <row r="13" ht="56" customHeight="1">
      <c r="A13" s="34" t="inlineStr">
        <is>
          <t>L3
功能</t>
        </is>
      </c>
      <c r="B13" s="28" t="inlineStr">
        <is>
          <t>A2.04</t>
        </is>
      </c>
      <c r="C13" s="32" t="inlineStr">
        <is>
          <t>P1</t>
        </is>
      </c>
      <c r="D13" s="30" t="inlineStr"/>
      <c r="E13" s="30" t="inlineStr">
        <is>
          <t>A2.输入系统</t>
        </is>
      </c>
      <c r="F13" s="35" t="inlineStr">
        <is>
          <t>区域清理</t>
        </is>
      </c>
      <c r="G13" s="36" t="inlineStr">
        <is>
          <t>this.regions=[]。场景切换onExit时必须调用，否则旧场景按钮还会响应。</t>
        </is>
      </c>
      <c r="H13" s="37" t="inlineStr">
        <is>
          <t>Input.clear()</t>
        </is>
      </c>
      <c r="I13" s="7" t="inlineStr">
        <is>
          <t>js/core/Input.js</t>
        </is>
      </c>
      <c r="J13" s="7" t="inlineStr">
        <is>
          <t>void → void</t>
        </is>
      </c>
      <c r="K13" s="38" t="inlineStr">
        <is>
          <t>V1</t>
        </is>
      </c>
      <c r="L13" s="39" t="inlineStr">
        <is>
          <t>待办</t>
        </is>
      </c>
    </row>
    <row r="14" ht="24" customHeight="1">
      <c r="A14" s="31" t="inlineStr">
        <is>
          <t>L2
模块</t>
        </is>
      </c>
      <c r="B14" s="28" t="inlineStr">
        <is>
          <t>A3</t>
        </is>
      </c>
      <c r="C14" s="32" t="inlineStr">
        <is>
          <t>P1</t>
        </is>
      </c>
      <c r="D14" s="30" t="inlineStr"/>
      <c r="E14" s="33" t="inlineStr">
        <is>
          <t>A3.事件总线</t>
        </is>
      </c>
      <c r="F14" s="30" t="inlineStr"/>
      <c r="G14" s="30" t="inlineStr"/>
      <c r="H14" s="30" t="inlineStr"/>
      <c r="I14" s="30" t="inlineStr"/>
      <c r="J14" s="30" t="inlineStr"/>
      <c r="K14" s="30" t="inlineStr">
        <is>
          <t>V1</t>
        </is>
      </c>
      <c r="L14" s="30" t="inlineStr"/>
    </row>
    <row r="15" ht="56" customHeight="1">
      <c r="A15" s="34" t="inlineStr">
        <is>
          <t>L3
功能</t>
        </is>
      </c>
      <c r="B15" s="28" t="inlineStr">
        <is>
          <t>A3.01</t>
        </is>
      </c>
      <c r="C15" s="32" t="inlineStr">
        <is>
          <t>P1</t>
        </is>
      </c>
      <c r="D15" s="30" t="inlineStr"/>
      <c r="E15" s="30" t="inlineStr">
        <is>
          <t>A3.事件总线</t>
        </is>
      </c>
      <c r="F15" s="35" t="inlineStr">
        <is>
          <t>事件注册</t>
        </is>
      </c>
      <c r="G15" s="36" t="inlineStr">
        <is>
          <t>if(!this.listeners.has(event)) this.listeners.set(event,[]); this.listeners.get(event).push(cb)。</t>
        </is>
      </c>
      <c r="H15" s="37" t="inlineStr">
        <is>
          <t>EventSystem.on(event,cb)</t>
        </is>
      </c>
      <c r="I15" s="7" t="inlineStr">
        <is>
          <t>js/core/EventSystem.js</t>
        </is>
      </c>
      <c r="J15" s="7" t="inlineStr">
        <is>
          <t>事件名+回调 → void</t>
        </is>
      </c>
      <c r="K15" s="38" t="inlineStr">
        <is>
          <t>V1</t>
        </is>
      </c>
      <c r="L15" s="39" t="inlineStr">
        <is>
          <t>待办</t>
        </is>
      </c>
    </row>
    <row r="16" ht="56" customHeight="1">
      <c r="A16" s="34" t="inlineStr">
        <is>
          <t>L3
功能</t>
        </is>
      </c>
      <c r="B16" s="28" t="inlineStr">
        <is>
          <t>A3.02</t>
        </is>
      </c>
      <c r="C16" s="32" t="inlineStr">
        <is>
          <t>P1</t>
        </is>
      </c>
      <c r="D16" s="30" t="inlineStr"/>
      <c r="E16" s="30" t="inlineStr">
        <is>
          <t>A3.事件总线</t>
        </is>
      </c>
      <c r="F16" s="35" t="inlineStr">
        <is>
          <t>事件触发</t>
        </is>
      </c>
      <c r="G16" s="36" t="inlineStr">
        <is>
          <t>let cbs=this.listeners.get(event); if(cbs) for(let cb of cbs) cb(data)。</t>
        </is>
      </c>
      <c r="H16" s="37" t="inlineStr">
        <is>
          <t>EventSystem.emit(event,data)</t>
        </is>
      </c>
      <c r="I16" s="7" t="inlineStr">
        <is>
          <t>js/core/EventSystem.js</t>
        </is>
      </c>
      <c r="J16" s="7" t="inlineStr">
        <is>
          <t>事件名+数据 → void</t>
        </is>
      </c>
      <c r="K16" s="38" t="inlineStr">
        <is>
          <t>V1</t>
        </is>
      </c>
      <c r="L16" s="39" t="inlineStr">
        <is>
          <t>待办</t>
        </is>
      </c>
    </row>
    <row r="17" ht="56" customHeight="1">
      <c r="A17" s="34" t="inlineStr">
        <is>
          <t>L3
功能</t>
        </is>
      </c>
      <c r="B17" s="28" t="inlineStr">
        <is>
          <t>A3.03</t>
        </is>
      </c>
      <c r="C17" s="32" t="inlineStr">
        <is>
          <t>P1</t>
        </is>
      </c>
      <c r="D17" s="30" t="inlineStr"/>
      <c r="E17" s="30" t="inlineStr">
        <is>
          <t>A3.事件总线</t>
        </is>
      </c>
      <c r="F17" s="35" t="inlineStr">
        <is>
          <t>事件移除</t>
        </is>
      </c>
      <c r="G17" s="36" t="inlineStr">
        <is>
          <t>let cbs=this.listeners.get(event); if(cbs){ let i=cbs.indexOf(cb); if(i&gt;=0) cbs.splice(i,1) }。</t>
        </is>
      </c>
      <c r="H17" s="37" t="inlineStr">
        <is>
          <t>EventSystem.off(event,cb)</t>
        </is>
      </c>
      <c r="I17" s="7" t="inlineStr">
        <is>
          <t>js/core/EventSystem.js</t>
        </is>
      </c>
      <c r="J17" s="7" t="inlineStr">
        <is>
          <t>事件名+回调 → void</t>
        </is>
      </c>
      <c r="K17" s="38" t="inlineStr">
        <is>
          <t>V1</t>
        </is>
      </c>
      <c r="L17" s="39" t="inlineStr">
        <is>
          <t>待办</t>
        </is>
      </c>
    </row>
    <row r="18" ht="24" customHeight="1">
      <c r="A18" s="31" t="inlineStr">
        <is>
          <t>L2
模块</t>
        </is>
      </c>
      <c r="B18" s="28" t="inlineStr">
        <is>
          <t>A4</t>
        </is>
      </c>
      <c r="C18" s="32" t="inlineStr">
        <is>
          <t>P1</t>
        </is>
      </c>
      <c r="D18" s="30" t="inlineStr"/>
      <c r="E18" s="33" t="inlineStr">
        <is>
          <t>A4.场景管理</t>
        </is>
      </c>
      <c r="F18" s="30" t="inlineStr"/>
      <c r="G18" s="30" t="inlineStr"/>
      <c r="H18" s="30" t="inlineStr"/>
      <c r="I18" s="30" t="inlineStr"/>
      <c r="J18" s="30" t="inlineStr"/>
      <c r="K18" s="30" t="inlineStr">
        <is>
          <t>V1</t>
        </is>
      </c>
      <c r="L18" s="30" t="inlineStr"/>
    </row>
    <row r="19" ht="56" customHeight="1">
      <c r="A19" s="34" t="inlineStr">
        <is>
          <t>L3
功能</t>
        </is>
      </c>
      <c r="B19" s="28" t="inlineStr">
        <is>
          <t>A4.01</t>
        </is>
      </c>
      <c r="C19" s="32" t="inlineStr">
        <is>
          <t>P1</t>
        </is>
      </c>
      <c r="D19" s="30" t="inlineStr"/>
      <c r="E19" s="30" t="inlineStr">
        <is>
          <t>A4.场景管理</t>
        </is>
      </c>
      <c r="F19" s="35" t="inlineStr">
        <is>
          <t>场景注册</t>
        </is>
      </c>
      <c r="G19" s="36" t="inlineStr">
        <is>
          <t>this.scenes.set(name,scene)。</t>
        </is>
      </c>
      <c r="H19" s="37" t="inlineStr">
        <is>
          <t>SceneManager.register(name,scene)</t>
        </is>
      </c>
      <c r="I19" s="7" t="inlineStr">
        <is>
          <t>js/core/SceneManager.js</t>
        </is>
      </c>
      <c r="J19" s="7" t="inlineStr">
        <is>
          <t>名称+场景 → void</t>
        </is>
      </c>
      <c r="K19" s="38" t="inlineStr">
        <is>
          <t>V1</t>
        </is>
      </c>
      <c r="L19" s="39" t="inlineStr">
        <is>
          <t>待办</t>
        </is>
      </c>
    </row>
    <row r="20" ht="56" customHeight="1">
      <c r="A20" s="34" t="inlineStr">
        <is>
          <t>L3
功能</t>
        </is>
      </c>
      <c r="B20" s="28" t="inlineStr">
        <is>
          <t>A4.02</t>
        </is>
      </c>
      <c r="C20" s="32" t="inlineStr">
        <is>
          <t>P1</t>
        </is>
      </c>
      <c r="D20" s="30" t="inlineStr"/>
      <c r="E20" s="30" t="inlineStr">
        <is>
          <t>A4.场景管理</t>
        </is>
      </c>
      <c r="F20" s="35" t="inlineStr">
        <is>
          <t>场景切换</t>
        </is>
      </c>
      <c r="G20" s="36" t="inlineStr">
        <is>
          <t>if(this.current) this.current.onExit(); this.current=this.scenes.get(name); if(this.current) this.current.onEnter()。</t>
        </is>
      </c>
      <c r="H20" s="37" t="inlineStr">
        <is>
          <t>SceneManager.switch(name)</t>
        </is>
      </c>
      <c r="I20" s="7" t="inlineStr">
        <is>
          <t>js/core/SceneManager.js</t>
        </is>
      </c>
      <c r="J20" s="7" t="inlineStr">
        <is>
          <t>场景名 → void</t>
        </is>
      </c>
      <c r="K20" s="38" t="inlineStr">
        <is>
          <t>V1</t>
        </is>
      </c>
      <c r="L20" s="39" t="inlineStr">
        <is>
          <t>待办</t>
        </is>
      </c>
    </row>
    <row r="21" ht="24" customHeight="1">
      <c r="A21" s="31" t="inlineStr">
        <is>
          <t>L2
模块</t>
        </is>
      </c>
      <c r="B21" s="28" t="inlineStr">
        <is>
          <t>A5</t>
        </is>
      </c>
      <c r="C21" s="32" t="inlineStr">
        <is>
          <t>P1</t>
        </is>
      </c>
      <c r="D21" s="30" t="inlineStr"/>
      <c r="E21" s="33" t="inlineStr">
        <is>
          <t>A5.渲染器</t>
        </is>
      </c>
      <c r="F21" s="30" t="inlineStr"/>
      <c r="G21" s="30" t="inlineStr"/>
      <c r="H21" s="30" t="inlineStr"/>
      <c r="I21" s="30" t="inlineStr"/>
      <c r="J21" s="30" t="inlineStr"/>
      <c r="K21" s="30" t="inlineStr">
        <is>
          <t>V1</t>
        </is>
      </c>
      <c r="L21" s="30" t="inlineStr"/>
    </row>
    <row r="22" ht="56" customHeight="1">
      <c r="A22" s="34" t="inlineStr">
        <is>
          <t>L3
功能</t>
        </is>
      </c>
      <c r="B22" s="28" t="inlineStr">
        <is>
          <t>A5.01</t>
        </is>
      </c>
      <c r="C22" s="32" t="inlineStr">
        <is>
          <t>P1</t>
        </is>
      </c>
      <c r="D22" s="30" t="inlineStr"/>
      <c r="E22" s="30" t="inlineStr">
        <is>
          <t>A5.渲染器</t>
        </is>
      </c>
      <c r="F22" s="35" t="inlineStr">
        <is>
          <t>矩形绘制</t>
        </is>
      </c>
      <c r="G22" s="36" t="inlineStr">
        <is>
          <t>ctx.fillStyle=color; ctx.fillRect(x,y,w,h)。</t>
        </is>
      </c>
      <c r="H22" s="37" t="inlineStr">
        <is>
          <t>Renderer.rect(ctx,x,y,w,h,color)</t>
        </is>
      </c>
      <c r="I22" s="7" t="inlineStr">
        <is>
          <t>js/core/Renderer.js</t>
        </is>
      </c>
      <c r="J22" s="7" t="inlineStr">
        <is>
          <t>ctx+坐标+颜色 → void</t>
        </is>
      </c>
      <c r="K22" s="38" t="inlineStr">
        <is>
          <t>V1</t>
        </is>
      </c>
      <c r="L22" s="39" t="inlineStr">
        <is>
          <t>待办</t>
        </is>
      </c>
    </row>
    <row r="23" ht="56" customHeight="1">
      <c r="A23" s="34" t="inlineStr">
        <is>
          <t>L3
功能</t>
        </is>
      </c>
      <c r="B23" s="28" t="inlineStr">
        <is>
          <t>A5.02</t>
        </is>
      </c>
      <c r="C23" s="32" t="inlineStr">
        <is>
          <t>P1</t>
        </is>
      </c>
      <c r="D23" s="30" t="inlineStr"/>
      <c r="E23" s="30" t="inlineStr">
        <is>
          <t>A5.渲染器</t>
        </is>
      </c>
      <c r="F23" s="35" t="inlineStr">
        <is>
          <t>文字绘制</t>
        </is>
      </c>
      <c r="G23" s="36" t="inlineStr">
        <is>
          <t>ctx.fillStyle=color; ctx.font=size+"px 微软雅黑"; ctx.fillText(text,x,y)。</t>
        </is>
      </c>
      <c r="H23" s="37" t="inlineStr">
        <is>
          <t>Renderer.text(ctx,text,x,y,color,size)</t>
        </is>
      </c>
      <c r="I23" s="7" t="inlineStr">
        <is>
          <t>js/core/Renderer.js</t>
        </is>
      </c>
      <c r="J23" s="7" t="inlineStr">
        <is>
          <t>ctx+文本+坐标 → void</t>
        </is>
      </c>
      <c r="K23" s="38" t="inlineStr">
        <is>
          <t>V1</t>
        </is>
      </c>
      <c r="L23" s="39" t="inlineStr">
        <is>
          <t>待办</t>
        </is>
      </c>
    </row>
    <row r="24" ht="56" customHeight="1">
      <c r="A24" s="34" t="inlineStr">
        <is>
          <t>L3
功能</t>
        </is>
      </c>
      <c r="B24" s="28" t="inlineStr">
        <is>
          <t>A5.03</t>
        </is>
      </c>
      <c r="C24" s="32" t="inlineStr">
        <is>
          <t>P1</t>
        </is>
      </c>
      <c r="D24" s="30" t="inlineStr"/>
      <c r="E24" s="30" t="inlineStr">
        <is>
          <t>A5.渲染器</t>
        </is>
      </c>
      <c r="F24" s="35" t="inlineStr">
        <is>
          <t>血条绘制</t>
        </is>
      </c>
      <c r="G24" s="36" t="inlineStr">
        <is>
          <t>ctx.fillStyle="#E74C3C"; ctx.fillRect(x,y,w,h); //背景红 ctx.fillStyle="#27AE60"; ctx.fillRect(x,y,w*ratio,h); //前景绿</t>
        </is>
      </c>
      <c r="H24" s="37" t="inlineStr">
        <is>
          <t>Renderer.healthBar(ctx,x,y,w,h,ratio)</t>
        </is>
      </c>
      <c r="I24" s="7" t="inlineStr">
        <is>
          <t>js/core/Renderer.js</t>
        </is>
      </c>
      <c r="J24" s="7" t="inlineStr">
        <is>
          <t>ctx+坐标+比例 → void</t>
        </is>
      </c>
      <c r="K24" s="38" t="inlineStr">
        <is>
          <t>V1</t>
        </is>
      </c>
      <c r="L24" s="39" t="inlineStr">
        <is>
          <t>待办</t>
        </is>
      </c>
    </row>
    <row r="25" ht="24" customHeight="1">
      <c r="A25" s="31" t="inlineStr">
        <is>
          <t>L2
模块</t>
        </is>
      </c>
      <c r="B25" s="28" t="inlineStr">
        <is>
          <t>A6</t>
        </is>
      </c>
      <c r="C25" s="40" t="inlineStr">
        <is>
          <t>P6</t>
        </is>
      </c>
      <c r="D25" s="30" t="inlineStr"/>
      <c r="E25" s="33" t="inlineStr">
        <is>
          <t>A6.粒子系统</t>
        </is>
      </c>
      <c r="F25" s="30" t="inlineStr"/>
      <c r="G25" s="30" t="inlineStr"/>
      <c r="H25" s="30" t="inlineStr"/>
      <c r="I25" s="30" t="inlineStr"/>
      <c r="J25" s="30" t="inlineStr"/>
      <c r="K25" s="30" t="inlineStr">
        <is>
          <t>V1</t>
        </is>
      </c>
      <c r="L25" s="30" t="inlineStr"/>
    </row>
    <row r="26" ht="56" customHeight="1">
      <c r="A26" s="34" t="inlineStr">
        <is>
          <t>L3
功能</t>
        </is>
      </c>
      <c r="B26" s="28" t="inlineStr">
        <is>
          <t>A6.01</t>
        </is>
      </c>
      <c r="C26" s="40" t="inlineStr">
        <is>
          <t>P6</t>
        </is>
      </c>
      <c r="D26" s="30" t="inlineStr"/>
      <c r="E26" s="30" t="inlineStr">
        <is>
          <t>A6.粒子系统</t>
        </is>
      </c>
      <c r="F26" s="35" t="inlineStr">
        <is>
          <t>粒子发射</t>
        </is>
      </c>
      <c r="G26" s="36" t="inlineStr">
        <is>
          <t>for(let i=0;i&lt;count;i++){ let angle=Math.random()*Math.PI*2; let speed=20+Math.random()*40; this.particles.push({x,y,vx:Math.cos(angle)*speed,vy:Math.sin(angle)*speed,life:0.3+Math.random()*0.2,maxLife:0.5,color,size:3+Math.random()*3}) }</t>
        </is>
      </c>
      <c r="H26" s="37" t="inlineStr">
        <is>
          <t>ParticleSystem.emit(x,y,count,color)</t>
        </is>
      </c>
      <c r="I26" s="7" t="inlineStr">
        <is>
          <t>js/core/ParticleSystem.js</t>
        </is>
      </c>
      <c r="J26" s="7" t="inlineStr">
        <is>
          <t>坐标+数量+颜色 → void</t>
        </is>
      </c>
      <c r="K26" s="38" t="inlineStr">
        <is>
          <t>V1</t>
        </is>
      </c>
      <c r="L26" s="39" t="inlineStr">
        <is>
          <t>待办</t>
        </is>
      </c>
    </row>
    <row r="27" ht="56" customHeight="1">
      <c r="A27" s="34" t="inlineStr">
        <is>
          <t>L3
功能</t>
        </is>
      </c>
      <c r="B27" s="28" t="inlineStr">
        <is>
          <t>A6.02</t>
        </is>
      </c>
      <c r="C27" s="40" t="inlineStr">
        <is>
          <t>P6</t>
        </is>
      </c>
      <c r="D27" s="30" t="inlineStr"/>
      <c r="E27" s="30" t="inlineStr">
        <is>
          <t>A6.粒子系统</t>
        </is>
      </c>
      <c r="F27" s="35" t="inlineStr">
        <is>
          <t>粒子更新</t>
        </is>
      </c>
      <c r="G27" s="36" t="inlineStr">
        <is>
          <t>for(let p of this.particles){ p.x+=p.vx*dt; p.y+=p.vy*dt; p.life-=dt; if(p.life&lt;=0)标记移除 } 过滤掉life&lt;=0的。</t>
        </is>
      </c>
      <c r="H27" s="37" t="inlineStr">
        <is>
          <t>ParticleSystem.update(dt)</t>
        </is>
      </c>
      <c r="I27" s="7" t="inlineStr">
        <is>
          <t>js/core/ParticleSystem.js</t>
        </is>
      </c>
      <c r="J27" s="7" t="inlineStr">
        <is>
          <t>dt → void</t>
        </is>
      </c>
      <c r="K27" s="38" t="inlineStr">
        <is>
          <t>V1</t>
        </is>
      </c>
      <c r="L27" s="39" t="inlineStr">
        <is>
          <t>待办</t>
        </is>
      </c>
    </row>
    <row r="28" ht="56" customHeight="1">
      <c r="A28" s="34" t="inlineStr">
        <is>
          <t>L3
功能</t>
        </is>
      </c>
      <c r="B28" s="28" t="inlineStr">
        <is>
          <t>A6.03</t>
        </is>
      </c>
      <c r="C28" s="40" t="inlineStr">
        <is>
          <t>P6</t>
        </is>
      </c>
      <c r="D28" s="30" t="inlineStr"/>
      <c r="E28" s="30" t="inlineStr">
        <is>
          <t>A6.粒子系统</t>
        </is>
      </c>
      <c r="F28" s="35" t="inlineStr">
        <is>
          <t>粒子渲染</t>
        </is>
      </c>
      <c r="G28" s="36" t="inlineStr">
        <is>
          <t>for(let p of this.particles){ ctx.globalAlpha=p.life/p.maxLife; Renderer.circle(ctx,p.x,p.y,p.size,p.color) } ctx.globalAlpha=1。</t>
        </is>
      </c>
      <c r="H28" s="37" t="inlineStr">
        <is>
          <t>ParticleSystem.render(ctx)</t>
        </is>
      </c>
      <c r="I28" s="7" t="inlineStr">
        <is>
          <t>js/core/ParticleSystem.js</t>
        </is>
      </c>
      <c r="J28" s="7" t="inlineStr">
        <is>
          <t>ctx → void</t>
        </is>
      </c>
      <c r="K28" s="38" t="inlineStr">
        <is>
          <t>V1</t>
        </is>
      </c>
      <c r="L28" s="39" t="inlineStr">
        <is>
          <t>待办</t>
        </is>
      </c>
    </row>
    <row r="29" ht="24" customHeight="1">
      <c r="A29" s="31" t="inlineStr">
        <is>
          <t>L2
模块</t>
        </is>
      </c>
      <c r="B29" s="28" t="inlineStr">
        <is>
          <t>A7</t>
        </is>
      </c>
      <c r="C29" s="40" t="inlineStr">
        <is>
          <t>P6</t>
        </is>
      </c>
      <c r="D29" s="30" t="inlineStr"/>
      <c r="E29" s="33" t="inlineStr">
        <is>
          <t>A7.音频管理</t>
        </is>
      </c>
      <c r="F29" s="30" t="inlineStr"/>
      <c r="G29" s="30" t="inlineStr"/>
      <c r="H29" s="30" t="inlineStr"/>
      <c r="I29" s="30" t="inlineStr"/>
      <c r="J29" s="30" t="inlineStr"/>
      <c r="K29" s="30" t="inlineStr">
        <is>
          <t>V1</t>
        </is>
      </c>
      <c r="L29" s="30" t="inlineStr"/>
    </row>
    <row r="30" ht="56" customHeight="1">
      <c r="A30" s="34" t="inlineStr">
        <is>
          <t>L3
功能</t>
        </is>
      </c>
      <c r="B30" s="28" t="inlineStr">
        <is>
          <t>A7.01</t>
        </is>
      </c>
      <c r="C30" s="40" t="inlineStr">
        <is>
          <t>P6</t>
        </is>
      </c>
      <c r="D30" s="30" t="inlineStr"/>
      <c r="E30" s="30" t="inlineStr">
        <is>
          <t>A7.音频管理</t>
        </is>
      </c>
      <c r="F30" s="35" t="inlineStr">
        <is>
          <t>BGM播放</t>
        </is>
      </c>
      <c r="G30" s="36" t="inlineStr">
        <is>
          <t>this.bgm=wx.getBackgroundAudioManager(); this.bgm.src=url; this.bgm.loop=true; this.bgm.play()。</t>
        </is>
      </c>
      <c r="H30" s="37" t="inlineStr">
        <is>
          <t>AudioManager.playBGM(url)</t>
        </is>
      </c>
      <c r="I30" s="7" t="inlineStr">
        <is>
          <t>js/core/AudioManager.js</t>
        </is>
      </c>
      <c r="J30" s="7" t="inlineStr">
        <is>
          <t>URL → void</t>
        </is>
      </c>
      <c r="K30" s="38" t="inlineStr">
        <is>
          <t>V1</t>
        </is>
      </c>
      <c r="L30" s="39" t="inlineStr">
        <is>
          <t>待办</t>
        </is>
      </c>
    </row>
    <row r="31" ht="56" customHeight="1">
      <c r="A31" s="34" t="inlineStr">
        <is>
          <t>L3
功能</t>
        </is>
      </c>
      <c r="B31" s="28" t="inlineStr">
        <is>
          <t>A7.02</t>
        </is>
      </c>
      <c r="C31" s="40" t="inlineStr">
        <is>
          <t>P6</t>
        </is>
      </c>
      <c r="D31" s="30" t="inlineStr"/>
      <c r="E31" s="30" t="inlineStr">
        <is>
          <t>A7.音频管理</t>
        </is>
      </c>
      <c r="F31" s="35" t="inlineStr">
        <is>
          <t>SFX播放</t>
        </is>
      </c>
      <c r="G31" s="36" t="inlineStr">
        <is>
          <t>let audio=wx.createInnerAudioContext(); audio.src=url; audio.play(); audio.onEnded(()=&gt;audio.destroy())。</t>
        </is>
      </c>
      <c r="H31" s="37" t="inlineStr">
        <is>
          <t>AudioManager.playSFX(url)</t>
        </is>
      </c>
      <c r="I31" s="7" t="inlineStr">
        <is>
          <t>js/core/AudioManager.js</t>
        </is>
      </c>
      <c r="J31" s="7" t="inlineStr">
        <is>
          <t>URL → void</t>
        </is>
      </c>
      <c r="K31" s="38" t="inlineStr">
        <is>
          <t>V1</t>
        </is>
      </c>
      <c r="L31" s="39" t="inlineStr">
        <is>
          <t>待办</t>
        </is>
      </c>
    </row>
    <row r="32" ht="32" customHeight="1">
      <c r="A32" s="41" t="inlineStr">
        <is>
          <t>L1
系统</t>
        </is>
      </c>
      <c r="B32" s="28" t="inlineStr"/>
      <c r="C32" s="9" t="inlineStr"/>
      <c r="D32" s="42" t="inlineStr">
        <is>
          <t>B.游戏数据</t>
        </is>
      </c>
      <c r="E32" s="30" t="inlineStr"/>
      <c r="F32" s="30" t="inlineStr"/>
      <c r="G32" s="30" t="inlineStr"/>
      <c r="H32" s="30" t="inlineStr"/>
      <c r="I32" s="30" t="inlineStr"/>
      <c r="J32" s="30" t="inlineStr"/>
      <c r="K32" s="30" t="inlineStr"/>
      <c r="L32" s="30" t="inlineStr"/>
    </row>
    <row r="33" ht="24" customHeight="1">
      <c r="A33" s="31" t="inlineStr">
        <is>
          <t>L2
模块</t>
        </is>
      </c>
      <c r="B33" s="28" t="inlineStr">
        <is>
          <t>B1</t>
        </is>
      </c>
      <c r="C33" s="43" t="inlineStr">
        <is>
          <t>P2</t>
        </is>
      </c>
      <c r="D33" s="30" t="inlineStr"/>
      <c r="E33" s="33" t="inlineStr">
        <is>
          <t>B1.常量配置</t>
        </is>
      </c>
      <c r="F33" s="30" t="inlineStr"/>
      <c r="G33" s="30" t="inlineStr"/>
      <c r="H33" s="30" t="inlineStr"/>
      <c r="I33" s="30" t="inlineStr"/>
      <c r="J33" s="30" t="inlineStr"/>
      <c r="K33" s="30" t="inlineStr">
        <is>
          <t>V1</t>
        </is>
      </c>
      <c r="L33" s="30" t="inlineStr"/>
    </row>
    <row r="34" ht="56" customHeight="1">
      <c r="A34" s="34" t="inlineStr">
        <is>
          <t>L3
功能</t>
        </is>
      </c>
      <c r="B34" s="28" t="inlineStr">
        <is>
          <t>B1.01</t>
        </is>
      </c>
      <c r="C34" s="43" t="inlineStr">
        <is>
          <t>P2</t>
        </is>
      </c>
      <c r="D34" s="30" t="inlineStr"/>
      <c r="E34" s="30" t="inlineStr">
        <is>
          <t>B1.常量配置</t>
        </is>
      </c>
      <c r="F34" s="35" t="inlineStr">
        <is>
          <t>全局常量</t>
        </is>
      </c>
      <c r="G34" s="36" t="inlineStr">
        <is>
          <t>module.exports={ BOARD_LENGTH:9, HALL_HP:30, ENERGY_START:5, ENERGY_REGEN:2.8, HAND_SIZE:4, ... } 所有硬编码值集中，代码中只引用Constants.xxx。</t>
        </is>
      </c>
      <c r="H34" s="37" t="inlineStr">
        <is>
          <t>Constants.js</t>
        </is>
      </c>
      <c r="I34" s="7" t="inlineStr">
        <is>
          <t>js/config/Constants.js</t>
        </is>
      </c>
      <c r="J34" s="7" t="inlineStr">
        <is>
          <t>文件 → 引用</t>
        </is>
      </c>
      <c r="K34" s="38" t="inlineStr">
        <is>
          <t>V1</t>
        </is>
      </c>
      <c r="L34" s="39" t="inlineStr">
        <is>
          <t>待办</t>
        </is>
      </c>
    </row>
    <row r="35" ht="24" customHeight="1">
      <c r="A35" s="31" t="inlineStr">
        <is>
          <t>L2
模块</t>
        </is>
      </c>
      <c r="B35" s="28" t="inlineStr">
        <is>
          <t>B2</t>
        </is>
      </c>
      <c r="C35" s="43" t="inlineStr">
        <is>
          <t>P2</t>
        </is>
      </c>
      <c r="D35" s="30" t="inlineStr"/>
      <c r="E35" s="33" t="inlineStr">
        <is>
          <t>B2.卡牌数据表</t>
        </is>
      </c>
      <c r="F35" s="30" t="inlineStr"/>
      <c r="G35" s="30" t="inlineStr"/>
      <c r="H35" s="30" t="inlineStr"/>
      <c r="I35" s="30" t="inlineStr"/>
      <c r="J35" s="30" t="inlineStr"/>
      <c r="K35" s="30" t="inlineStr">
        <is>
          <t>V1</t>
        </is>
      </c>
      <c r="L35" s="30" t="inlineStr"/>
    </row>
    <row r="36" ht="56" customHeight="1">
      <c r="A36" s="34" t="inlineStr">
        <is>
          <t>L3
功能</t>
        </is>
      </c>
      <c r="B36" s="28" t="inlineStr">
        <is>
          <t>B2.01</t>
        </is>
      </c>
      <c r="C36" s="43" t="inlineStr">
        <is>
          <t>P2</t>
        </is>
      </c>
      <c r="D36" s="30" t="inlineStr"/>
      <c r="E36" s="30" t="inlineStr">
        <is>
          <t>B2.卡牌数据表</t>
        </is>
      </c>
      <c r="F36" s="35" t="inlineStr">
        <is>
          <t>卡牌配置</t>
        </is>
      </c>
      <c r="G36" s="36" t="inlineStr">
        <is>
          <t>module.exports={ "body_disciple":{name:"体修弟子",type:"unit",faction:"attack",cost:2,hp:4,atk:2,speed:1.0,range:1,interval:1.0,traits:[]}, ...共19张 }</t>
        </is>
      </c>
      <c r="H36" s="37" t="inlineStr">
        <is>
          <t>Cards.js</t>
        </is>
      </c>
      <c r="I36" s="7" t="inlineStr">
        <is>
          <t>js/config/Cards.js</t>
        </is>
      </c>
      <c r="J36" s="7" t="inlineStr">
        <is>
          <t>文件 → 引用</t>
        </is>
      </c>
      <c r="K36" s="38" t="inlineStr">
        <is>
          <t>V1</t>
        </is>
      </c>
      <c r="L36" s="39" t="inlineStr">
        <is>
          <t>待办</t>
        </is>
      </c>
    </row>
    <row r="37" ht="56" customHeight="1">
      <c r="A37" s="34" t="inlineStr">
        <is>
          <t>L3
功能</t>
        </is>
      </c>
      <c r="B37" s="28" t="inlineStr">
        <is>
          <t>B2.02</t>
        </is>
      </c>
      <c r="C37" s="43" t="inlineStr">
        <is>
          <t>P2</t>
        </is>
      </c>
      <c r="D37" s="30" t="inlineStr"/>
      <c r="E37" s="30" t="inlineStr">
        <is>
          <t>B2.卡牌数据表</t>
        </is>
      </c>
      <c r="F37" s="35" t="inlineStr">
        <is>
          <t>卡牌查表</t>
        </is>
      </c>
      <c r="G37" s="36" t="inlineStr">
        <is>
          <t>let card=this.data[cardId]; if(!card) console.error("未知卡牌:"+cardId); return card。</t>
        </is>
      </c>
      <c r="H37" s="37" t="inlineStr">
        <is>
          <t>Cards.get(cardId)</t>
        </is>
      </c>
      <c r="I37" s="7" t="inlineStr">
        <is>
          <t>js/config/Cards.js</t>
        </is>
      </c>
      <c r="J37" s="7" t="inlineStr">
        <is>
          <t>cardId:string → Card Object</t>
        </is>
      </c>
      <c r="K37" s="38" t="inlineStr">
        <is>
          <t>V1</t>
        </is>
      </c>
      <c r="L37" s="39" t="inlineStr">
        <is>
          <t>待办</t>
        </is>
      </c>
    </row>
    <row r="38" ht="24" customHeight="1">
      <c r="A38" s="31" t="inlineStr">
        <is>
          <t>L2
模块</t>
        </is>
      </c>
      <c r="B38" s="28" t="inlineStr">
        <is>
          <t>B3</t>
        </is>
      </c>
      <c r="C38" s="43" t="inlineStr">
        <is>
          <t>P2</t>
        </is>
      </c>
      <c r="D38" s="30" t="inlineStr"/>
      <c r="E38" s="33" t="inlineStr">
        <is>
          <t>B3.卡组手牌</t>
        </is>
      </c>
      <c r="F38" s="30" t="inlineStr"/>
      <c r="G38" s="30" t="inlineStr"/>
      <c r="H38" s="30" t="inlineStr"/>
      <c r="I38" s="30" t="inlineStr"/>
      <c r="J38" s="30" t="inlineStr"/>
      <c r="K38" s="30" t="inlineStr">
        <is>
          <t>V1</t>
        </is>
      </c>
      <c r="L38" s="30" t="inlineStr"/>
    </row>
    <row r="39" ht="56" customHeight="1">
      <c r="A39" s="34" t="inlineStr">
        <is>
          <t>L3
功能</t>
        </is>
      </c>
      <c r="B39" s="28" t="inlineStr">
        <is>
          <t>B3.01</t>
        </is>
      </c>
      <c r="C39" s="43" t="inlineStr">
        <is>
          <t>P2</t>
        </is>
      </c>
      <c r="D39" s="30" t="inlineStr"/>
      <c r="E39" s="30" t="inlineStr">
        <is>
          <t>B3.卡组手牌</t>
        </is>
      </c>
      <c r="F39" s="35" t="inlineStr">
        <is>
          <t>卡组初始化</t>
        </is>
      </c>
      <c r="G39" s="36" t="inlineStr">
        <is>
          <t>this.drawPile=[...cardIds]; this.shuffle(); this.hand=[]; for(let i=0;i&lt;3;i++) this.draw()。初始抽3张。</t>
        </is>
      </c>
      <c r="H39" s="37" t="inlineStr">
        <is>
          <t>Deck.init(cardIds)</t>
        </is>
      </c>
      <c r="I39" s="7" t="inlineStr">
        <is>
          <t>js/game/Deck.js</t>
        </is>
      </c>
      <c r="J39" s="7" t="inlineStr">
        <is>
          <t>cardIds:string[] → void</t>
        </is>
      </c>
      <c r="K39" s="38" t="inlineStr">
        <is>
          <t>V1</t>
        </is>
      </c>
      <c r="L39" s="39" t="inlineStr">
        <is>
          <t>待办</t>
        </is>
      </c>
    </row>
    <row r="40" ht="56" customHeight="1">
      <c r="A40" s="34" t="inlineStr">
        <is>
          <t>L3
功能</t>
        </is>
      </c>
      <c r="B40" s="28" t="inlineStr">
        <is>
          <t>B3.02</t>
        </is>
      </c>
      <c r="C40" s="43" t="inlineStr">
        <is>
          <t>P2</t>
        </is>
      </c>
      <c r="D40" s="30" t="inlineStr"/>
      <c r="E40" s="30" t="inlineStr">
        <is>
          <t>B3.卡组手牌</t>
        </is>
      </c>
      <c r="F40" s="35" t="inlineStr">
        <is>
          <t>洗牌算法</t>
        </is>
      </c>
      <c r="G40" s="36" t="inlineStr">
        <is>
          <t>for(let i=this.drawPile.length-1;i&gt;0;i--){ let j=Math.floor(Math.random()*(i+1)); [this.drawPile[i],this.drawPile[j]]=[this.drawPile[j],this.drawPile[i]] }</t>
        </is>
      </c>
      <c r="H40" s="37" t="inlineStr">
        <is>
          <t>Deck.shuffle()</t>
        </is>
      </c>
      <c r="I40" s="7" t="inlineStr">
        <is>
          <t>js/game/Deck.js</t>
        </is>
      </c>
      <c r="J40" s="7" t="inlineStr">
        <is>
          <t>void → void</t>
        </is>
      </c>
      <c r="K40" s="38" t="inlineStr">
        <is>
          <t>V1</t>
        </is>
      </c>
      <c r="L40" s="39" t="inlineStr">
        <is>
          <t>待办</t>
        </is>
      </c>
    </row>
    <row r="41" ht="56" customHeight="1">
      <c r="A41" s="34" t="inlineStr">
        <is>
          <t>L3
功能</t>
        </is>
      </c>
      <c r="B41" s="28" t="inlineStr">
        <is>
          <t>B3.03</t>
        </is>
      </c>
      <c r="C41" s="43" t="inlineStr">
        <is>
          <t>P2</t>
        </is>
      </c>
      <c r="D41" s="30" t="inlineStr"/>
      <c r="E41" s="30" t="inlineStr">
        <is>
          <t>B3.卡组手牌</t>
        </is>
      </c>
      <c r="F41" s="35" t="inlineStr">
        <is>
          <t>抽牌</t>
        </is>
      </c>
      <c r="G41" s="36" t="inlineStr">
        <is>
          <t>if(this.hand.length&gt;=4) return null; if(this.drawPile.length==0) return null; let card=this.drawPile.pop(); this.hand.push(card); return card</t>
        </is>
      </c>
      <c r="H41" s="37" t="inlineStr">
        <is>
          <t>Deck.draw()</t>
        </is>
      </c>
      <c r="I41" s="7" t="inlineStr">
        <is>
          <t>js/game/Deck.js</t>
        </is>
      </c>
      <c r="J41" s="7" t="inlineStr">
        <is>
          <t>void → cardId:string|null</t>
        </is>
      </c>
      <c r="K41" s="38" t="inlineStr">
        <is>
          <t>V1</t>
        </is>
      </c>
      <c r="L41" s="39" t="inlineStr">
        <is>
          <t>待办</t>
        </is>
      </c>
    </row>
    <row r="42" ht="56" customHeight="1">
      <c r="A42" s="34" t="inlineStr">
        <is>
          <t>L3
功能</t>
        </is>
      </c>
      <c r="B42" s="28" t="inlineStr">
        <is>
          <t>B3.04</t>
        </is>
      </c>
      <c r="C42" s="43" t="inlineStr">
        <is>
          <t>P2</t>
        </is>
      </c>
      <c r="D42" s="30" t="inlineStr"/>
      <c r="E42" s="30" t="inlineStr">
        <is>
          <t>B3.卡组手牌</t>
        </is>
      </c>
      <c r="F42" s="35" t="inlineStr">
        <is>
          <t>打出后补牌</t>
        </is>
      </c>
      <c r="G42" s="36" t="inlineStr">
        <is>
          <t>if(this.drawTimer&gt;0){ this.drawTimer-=dt; if(this.drawTimer&lt;=0){ this.draw(); this.drawTimer=0 } }</t>
        </is>
      </c>
      <c r="H42" s="37" t="inlineStr">
        <is>
          <t>Deck.update(dt)</t>
        </is>
      </c>
      <c r="I42" s="7" t="inlineStr">
        <is>
          <t>js/game/Deck.js</t>
        </is>
      </c>
      <c r="J42" s="7" t="inlineStr">
        <is>
          <t>dt:number → void</t>
        </is>
      </c>
      <c r="K42" s="38" t="inlineStr">
        <is>
          <t>V1</t>
        </is>
      </c>
      <c r="L42" s="39" t="inlineStr">
        <is>
          <t>待办</t>
        </is>
      </c>
    </row>
    <row r="43" ht="56" customHeight="1">
      <c r="A43" s="34" t="inlineStr">
        <is>
          <t>L3
功能</t>
        </is>
      </c>
      <c r="B43" s="28" t="inlineStr">
        <is>
          <t>B3.05</t>
        </is>
      </c>
      <c r="C43" s="43" t="inlineStr">
        <is>
          <t>P2</t>
        </is>
      </c>
      <c r="D43" s="30" t="inlineStr"/>
      <c r="E43" s="30" t="inlineStr">
        <is>
          <t>B3.卡组手牌</t>
        </is>
      </c>
      <c r="F43" s="35" t="inlineStr">
        <is>
          <t>出牌检查</t>
        </is>
      </c>
      <c r="G43" s="36" t="inlineStr">
        <is>
          <t>let card=Cards.get(this.hand[index]); return energy&gt;=card.cost。</t>
        </is>
      </c>
      <c r="H43" s="37" t="inlineStr">
        <is>
          <t>Deck.canPlay(index,energy)</t>
        </is>
      </c>
      <c r="I43" s="7" t="inlineStr">
        <is>
          <t>js/game/Deck.js</t>
        </is>
      </c>
      <c r="J43" s="7" t="inlineStr">
        <is>
          <t>index:int+energy:int → bool</t>
        </is>
      </c>
      <c r="K43" s="38" t="inlineStr">
        <is>
          <t>V1</t>
        </is>
      </c>
      <c r="L43" s="39" t="inlineStr">
        <is>
          <t>待办</t>
        </is>
      </c>
    </row>
    <row r="44" ht="56" customHeight="1">
      <c r="A44" s="34" t="inlineStr">
        <is>
          <t>L3
功能</t>
        </is>
      </c>
      <c r="B44" s="28" t="inlineStr">
        <is>
          <t>B3.06</t>
        </is>
      </c>
      <c r="C44" s="43" t="inlineStr">
        <is>
          <t>P2</t>
        </is>
      </c>
      <c r="D44" s="30" t="inlineStr"/>
      <c r="E44" s="30" t="inlineStr">
        <is>
          <t>B3.卡组手牌</t>
        </is>
      </c>
      <c r="F44" s="35" t="inlineStr">
        <is>
          <t>打出牌</t>
        </is>
      </c>
      <c r="G44" s="36" t="inlineStr">
        <is>
          <t>let cardId=this.hand.splice(index,1)[0]; this.drawTimer=2.0; return cardId。</t>
        </is>
      </c>
      <c r="H44" s="37" t="inlineStr">
        <is>
          <t>Deck.playCard(index)</t>
        </is>
      </c>
      <c r="I44" s="7" t="inlineStr">
        <is>
          <t>js/game/Deck.js</t>
        </is>
      </c>
      <c r="J44" s="7" t="inlineStr">
        <is>
          <t>index:int → cardId:string</t>
        </is>
      </c>
      <c r="K44" s="38" t="inlineStr">
        <is>
          <t>V1</t>
        </is>
      </c>
      <c r="L44" s="39" t="inlineStr">
        <is>
          <t>待办</t>
        </is>
      </c>
    </row>
    <row r="45" ht="24" customHeight="1">
      <c r="A45" s="31" t="inlineStr">
        <is>
          <t>L2
模块</t>
        </is>
      </c>
      <c r="B45" s="28" t="inlineStr">
        <is>
          <t>B4</t>
        </is>
      </c>
      <c r="C45" s="43" t="inlineStr">
        <is>
          <t>P2</t>
        </is>
      </c>
      <c r="D45" s="30" t="inlineStr"/>
      <c r="E45" s="33" t="inlineStr">
        <is>
          <t>B4.预设卡组</t>
        </is>
      </c>
      <c r="F45" s="30" t="inlineStr"/>
      <c r="G45" s="30" t="inlineStr"/>
      <c r="H45" s="30" t="inlineStr"/>
      <c r="I45" s="30" t="inlineStr"/>
      <c r="J45" s="30" t="inlineStr"/>
      <c r="K45" s="30" t="inlineStr">
        <is>
          <t>V1</t>
        </is>
      </c>
      <c r="L45" s="30" t="inlineStr"/>
    </row>
    <row r="46" ht="56" customHeight="1">
      <c r="A46" s="34" t="inlineStr">
        <is>
          <t>L3
功能</t>
        </is>
      </c>
      <c r="B46" s="28" t="inlineStr">
        <is>
          <t>B4.01</t>
        </is>
      </c>
      <c r="C46" s="43" t="inlineStr">
        <is>
          <t>P2</t>
        </is>
      </c>
      <c r="D46" s="30" t="inlineStr"/>
      <c r="E46" s="30" t="inlineStr">
        <is>
          <t>B4.预设卡组</t>
        </is>
      </c>
      <c r="F46" s="35" t="inlineStr">
        <is>
          <t>3套预设卡组</t>
        </is>
      </c>
      <c r="G46" s="36" t="inlineStr">
        <is>
          <t>module.exports={ rush:["body_disciple","body_disciple",...共8张], control:[...], tank:[...] }</t>
        </is>
      </c>
      <c r="H46" s="37" t="inlineStr">
        <is>
          <t>DeckPresets.js</t>
        </is>
      </c>
      <c r="I46" s="7" t="inlineStr">
        <is>
          <t>js/config/DeckPresets.js</t>
        </is>
      </c>
      <c r="J46" s="7" t="inlineStr">
        <is>
          <t>文件 → Deck.init使用</t>
        </is>
      </c>
      <c r="K46" s="38" t="inlineStr">
        <is>
          <t>V1</t>
        </is>
      </c>
      <c r="L46" s="39" t="inlineStr">
        <is>
          <t>待办</t>
        </is>
      </c>
    </row>
    <row r="47" ht="32" customHeight="1">
      <c r="A47" s="26" t="inlineStr">
        <is>
          <t>L1
系统</t>
        </is>
      </c>
      <c r="B47" s="28" t="inlineStr"/>
      <c r="C47" s="9" t="inlineStr"/>
      <c r="D47" s="44" t="inlineStr">
        <is>
          <t>C.战斗逻辑</t>
        </is>
      </c>
      <c r="E47" s="30" t="inlineStr"/>
      <c r="F47" s="30" t="inlineStr"/>
      <c r="G47" s="30" t="inlineStr"/>
      <c r="H47" s="30" t="inlineStr"/>
      <c r="I47" s="30" t="inlineStr"/>
      <c r="J47" s="30" t="inlineStr"/>
      <c r="K47" s="30" t="inlineStr"/>
      <c r="L47" s="30" t="inlineStr"/>
    </row>
    <row r="48" ht="24" customHeight="1">
      <c r="A48" s="31" t="inlineStr">
        <is>
          <t>L2
模块</t>
        </is>
      </c>
      <c r="B48" s="28" t="inlineStr">
        <is>
          <t>C1</t>
        </is>
      </c>
      <c r="C48" s="45" t="inlineStr">
        <is>
          <t>P3</t>
        </is>
      </c>
      <c r="D48" s="30" t="inlineStr"/>
      <c r="E48" s="33" t="inlineStr">
        <is>
          <t>C1.战斗主循环</t>
        </is>
      </c>
      <c r="F48" s="30" t="inlineStr"/>
      <c r="G48" s="30" t="inlineStr"/>
      <c r="H48" s="30" t="inlineStr"/>
      <c r="I48" s="30" t="inlineStr"/>
      <c r="J48" s="30" t="inlineStr"/>
      <c r="K48" s="30" t="inlineStr">
        <is>
          <t>V1</t>
        </is>
      </c>
      <c r="L48" s="30" t="inlineStr"/>
    </row>
    <row r="49" ht="56" customHeight="1">
      <c r="A49" s="34" t="inlineStr">
        <is>
          <t>L3
功能</t>
        </is>
      </c>
      <c r="B49" s="28" t="inlineStr">
        <is>
          <t>C1.01</t>
        </is>
      </c>
      <c r="C49" s="45" t="inlineStr">
        <is>
          <t>P3</t>
        </is>
      </c>
      <c r="D49" s="30" t="inlineStr"/>
      <c r="E49" s="30" t="inlineStr">
        <is>
          <t>C1.战斗主循环</t>
        </is>
      </c>
      <c r="F49" s="35" t="inlineStr">
        <is>
          <t>每帧总入口</t>
        </is>
      </c>
      <c r="G49" s="36" t="inlineStr">
        <is>
          <t>this.updateEnergy(dt); this.updateDraw(dt); this.updateUnits(dt); this.updateFormations(dt); this.updateElders(dt); this.updateAI(dt); this.removeDead(); this.checkEnd(); model.time-=dt; model.elapsedTime+=dt</t>
        </is>
      </c>
      <c r="H49" s="37" t="inlineStr">
        <is>
          <t>BattleLogic.update(dt)</t>
        </is>
      </c>
      <c r="I49" s="7" t="inlineStr">
        <is>
          <t>js/game/BattleLogic.js</t>
        </is>
      </c>
      <c r="J49" s="7" t="inlineStr">
        <is>
          <t>dt:number → void</t>
        </is>
      </c>
      <c r="K49" s="38" t="inlineStr">
        <is>
          <t>V1</t>
        </is>
      </c>
      <c r="L49" s="39" t="inlineStr">
        <is>
          <t>待办</t>
        </is>
      </c>
    </row>
    <row r="50" ht="24" customHeight="1">
      <c r="A50" s="31" t="inlineStr">
        <is>
          <t>L2
模块</t>
        </is>
      </c>
      <c r="B50" s="28" t="inlineStr">
        <is>
          <t>C2</t>
        </is>
      </c>
      <c r="C50" s="45" t="inlineStr">
        <is>
          <t>P3</t>
        </is>
      </c>
      <c r="D50" s="30" t="inlineStr"/>
      <c r="E50" s="33" t="inlineStr">
        <is>
          <t>C2.单位实体</t>
        </is>
      </c>
      <c r="F50" s="30" t="inlineStr"/>
      <c r="G50" s="30" t="inlineStr"/>
      <c r="H50" s="30" t="inlineStr"/>
      <c r="I50" s="30" t="inlineStr"/>
      <c r="J50" s="30" t="inlineStr"/>
      <c r="K50" s="30" t="inlineStr">
        <is>
          <t>V1</t>
        </is>
      </c>
      <c r="L50" s="30" t="inlineStr"/>
    </row>
    <row r="51" ht="56" customHeight="1">
      <c r="A51" s="34" t="inlineStr">
        <is>
          <t>L3
功能</t>
        </is>
      </c>
      <c r="B51" s="28" t="inlineStr">
        <is>
          <t>C2.01</t>
        </is>
      </c>
      <c r="C51" s="45" t="inlineStr">
        <is>
          <t>P3</t>
        </is>
      </c>
      <c r="D51" s="30" t="inlineStr"/>
      <c r="E51" s="30" t="inlineStr">
        <is>
          <t>C2.单位实体</t>
        </is>
      </c>
      <c r="F51" s="35" t="inlineStr">
        <is>
          <t>从卡牌创建单位</t>
        </is>
      </c>
      <c r="G51" s="36" t="inlineStr">
        <is>
          <t>let c=Cards.get(cardId); return { id:uid++, cardId, owner, x, y, hp:c.hp, maxHp:c.hp, atk:c.atk, speed:c.speed, baseSpeed:c.speed, attackRange:c.range||1, attackInterval:c.interval, lastAttackTime:0, target:null, state:"walking", traits:c.traits||[], buffs:[], facing:owner===0?1:-1, isElder:c.type==="elder", elderTimer:0 }</t>
        </is>
      </c>
      <c r="H51" s="37" t="inlineStr">
        <is>
          <t>Unit.fromCard(cardId,owner,x,y)</t>
        </is>
      </c>
      <c r="I51" s="7" t="inlineStr">
        <is>
          <t>js/game/Unit.js</t>
        </is>
      </c>
      <c r="J51" s="7" t="inlineStr">
        <is>
          <t>cardId+owner:int+x+y → Unit Object</t>
        </is>
      </c>
      <c r="K51" s="38" t="inlineStr">
        <is>
          <t>V1</t>
        </is>
      </c>
      <c r="L51" s="39" t="inlineStr">
        <is>
          <t>待办</t>
        </is>
      </c>
    </row>
    <row r="52" ht="56" customHeight="1">
      <c r="A52" s="34" t="inlineStr">
        <is>
          <t>L3
功能</t>
        </is>
      </c>
      <c r="B52" s="28" t="inlineStr">
        <is>
          <t>C2.02</t>
        </is>
      </c>
      <c r="C52" s="45" t="inlineStr">
        <is>
          <t>P3</t>
        </is>
      </c>
      <c r="D52" s="30" t="inlineStr"/>
      <c r="E52" s="30" t="inlineStr">
        <is>
          <t>C2.单位实体</t>
        </is>
      </c>
      <c r="F52" s="35" t="inlineStr">
        <is>
          <t>buff系统</t>
        </is>
      </c>
      <c r="G52" s="36" t="inlineStr">
        <is>
          <t>this.buffs.push({type,value,duration,elapsed:0})。类型: "slow"(-0.5速度)/"speed"(+0.5)/"stun"(速度=0)/"shield"(免疫)/"atkBoost"(+攻击)。</t>
        </is>
      </c>
      <c r="H52" s="37" t="inlineStr">
        <is>
          <t>Unit.addBuff(type,value,duration)</t>
        </is>
      </c>
      <c r="I52" s="7" t="inlineStr">
        <is>
          <t>js/game/Unit.js</t>
        </is>
      </c>
      <c r="J52" s="7" t="inlineStr">
        <is>
          <t>type+value+duration → void</t>
        </is>
      </c>
      <c r="K52" s="38" t="inlineStr">
        <is>
          <t>V1</t>
        </is>
      </c>
      <c r="L52" s="39" t="inlineStr">
        <is>
          <t>待办</t>
        </is>
      </c>
    </row>
    <row r="53" ht="56" customHeight="1">
      <c r="A53" s="34" t="inlineStr">
        <is>
          <t>L3
功能</t>
        </is>
      </c>
      <c r="B53" s="28" t="inlineStr">
        <is>
          <t>C2.03</t>
        </is>
      </c>
      <c r="C53" s="45" t="inlineStr">
        <is>
          <t>P3</t>
        </is>
      </c>
      <c r="D53" s="30" t="inlineStr"/>
      <c r="E53" s="30" t="inlineStr">
        <is>
          <t>C2.单位实体</t>
        </is>
      </c>
      <c r="F53" s="35" t="inlineStr">
        <is>
          <t>实际移速计算</t>
        </is>
      </c>
      <c r="G53" s="36" t="inlineStr">
        <is>
          <t>let spd=this.baseSpeed; for(let b of this.buffs){ if(b.type==="slow") spd-=0.5; if(b.type==="speed") spd+=0.5; if(b.type==="stun") return 0 } return Math.max(0,spd)</t>
        </is>
      </c>
      <c r="H53" s="37" t="inlineStr">
        <is>
          <t>Unit.getEffectiveSpeed()</t>
        </is>
      </c>
      <c r="I53" s="7" t="inlineStr">
        <is>
          <t>js/game/Unit.js</t>
        </is>
      </c>
      <c r="J53" s="7" t="inlineStr">
        <is>
          <t>void → number</t>
        </is>
      </c>
      <c r="K53" s="38" t="inlineStr">
        <is>
          <t>V1</t>
        </is>
      </c>
      <c r="L53" s="39" t="inlineStr">
        <is>
          <t>待办</t>
        </is>
      </c>
    </row>
    <row r="54" ht="56" customHeight="1">
      <c r="A54" s="34" t="inlineStr">
        <is>
          <t>L3
功能</t>
        </is>
      </c>
      <c r="B54" s="28" t="inlineStr">
        <is>
          <t>C2.04</t>
        </is>
      </c>
      <c r="C54" s="45" t="inlineStr">
        <is>
          <t>P3</t>
        </is>
      </c>
      <c r="D54" s="30" t="inlineStr"/>
      <c r="E54" s="30" t="inlineStr">
        <is>
          <t>C2.单位实体</t>
        </is>
      </c>
      <c r="F54" s="35" t="inlineStr">
        <is>
          <t>受到伤害</t>
        </is>
      </c>
      <c r="G54" s="36" t="inlineStr">
        <is>
          <t>if(this.hp&lt;=0) return 0; //已死不处理 this.hp-=amount; if(this.hp&lt;=0){ this.hp=0; this.state="dead"; //触发死亡回调 } return amount</t>
        </is>
      </c>
      <c r="H54" s="37" t="inlineStr">
        <is>
          <t>Unit.takeDamage(amount,attacker)</t>
        </is>
      </c>
      <c r="I54" s="7" t="inlineStr">
        <is>
          <t>js/game/Unit.js</t>
        </is>
      </c>
      <c r="J54" s="7" t="inlineStr">
        <is>
          <t>amount:int+attacker:Unit → int(实际伤害)</t>
        </is>
      </c>
      <c r="K54" s="38" t="inlineStr">
        <is>
          <t>V1</t>
        </is>
      </c>
      <c r="L54" s="39" t="inlineStr">
        <is>
          <t>待办</t>
        </is>
      </c>
    </row>
    <row r="55" ht="24" customHeight="1">
      <c r="A55" s="31" t="inlineStr">
        <is>
          <t>L2
模块</t>
        </is>
      </c>
      <c r="B55" s="28" t="inlineStr">
        <is>
          <t>C3</t>
        </is>
      </c>
      <c r="C55" s="45" t="inlineStr">
        <is>
          <t>P3</t>
        </is>
      </c>
      <c r="D55" s="30" t="inlineStr"/>
      <c r="E55" s="33" t="inlineStr">
        <is>
          <t>C3.移动系统</t>
        </is>
      </c>
      <c r="F55" s="30" t="inlineStr"/>
      <c r="G55" s="30" t="inlineStr"/>
      <c r="H55" s="30" t="inlineStr"/>
      <c r="I55" s="30" t="inlineStr"/>
      <c r="J55" s="30" t="inlineStr"/>
      <c r="K55" s="30" t="inlineStr">
        <is>
          <t>V1</t>
        </is>
      </c>
      <c r="L55" s="30" t="inlineStr"/>
    </row>
    <row r="56" ht="56" customHeight="1">
      <c r="A56" s="34" t="inlineStr">
        <is>
          <t>L3
功能</t>
        </is>
      </c>
      <c r="B56" s="28" t="inlineStr">
        <is>
          <t>C3.01</t>
        </is>
      </c>
      <c r="C56" s="45" t="inlineStr">
        <is>
          <t>P3</t>
        </is>
      </c>
      <c r="D56" s="30" t="inlineStr"/>
      <c r="E56" s="30" t="inlineStr">
        <is>
          <t>C3.移动系统</t>
        </is>
      </c>
      <c r="F56" s="46" t="inlineStr">
        <is>
          <t>★单位移动★</t>
        </is>
      </c>
      <c r="G56" s="36" t="inlineStr">
        <is>
          <t>if(unit.state!=="walking") return; let target=MovementSystem.findTarget(unit,model); if(target &amp;&amp; MovementSystem.checkCollision(unit,target)){ unit.state="fighting"; unit.target=target } else { let spd=unit.getEffectiveSpeed(); unit.y+=spd*dt*unit.facing; if(MovementSystem.checkHallReach(unit,model)){ unit.state="dead"; //到大殿→造成伤害 CombatSystem.damageHall(model.players[1-unit.owner],unit.atk) } }</t>
        </is>
      </c>
      <c r="H56" s="37" t="inlineStr">
        <is>
          <t>MovementSystem.moveUnit(unit,dt,model)</t>
        </is>
      </c>
      <c r="I56" s="7" t="inlineStr">
        <is>
          <t>js/game/MovementSystem.js</t>
        </is>
      </c>
      <c r="J56" s="7" t="inlineStr">
        <is>
          <t>unit+dt+model → void</t>
        </is>
      </c>
      <c r="K56" s="38" t="inlineStr">
        <is>
          <t>V1</t>
        </is>
      </c>
      <c r="L56" s="39" t="inlineStr">
        <is>
          <t>待办</t>
        </is>
      </c>
    </row>
    <row r="57" ht="56" customHeight="1">
      <c r="A57" s="34" t="inlineStr">
        <is>
          <t>L3
功能</t>
        </is>
      </c>
      <c r="B57" s="28" t="inlineStr">
        <is>
          <t>C3.02</t>
        </is>
      </c>
      <c r="C57" s="45" t="inlineStr">
        <is>
          <t>P3</t>
        </is>
      </c>
      <c r="D57" s="30" t="inlineStr"/>
      <c r="E57" s="30" t="inlineStr">
        <is>
          <t>C3.移动系统</t>
        </is>
      </c>
      <c r="F57" s="46" t="inlineStr">
        <is>
          <t>★目标选择★</t>
        </is>
      </c>
      <c r="G57" s="36" t="inlineStr">
        <is>
          <t>let enemies=model.getEnemyUnits(unit.owner); let formations=model.getEnemyFormations(unit.owner); let candidates=[...enemies,...formations]; //过滤同列(x相同) candidates=candidates.filter(e=&gt;e.x===unit.x); if(candidates.length===0) return null; //按y距离排序 candidates.sort((a,b)=&gt;Math.abs(a.y-unit.y)-Math.abs(b.y-unit.y)); let nearest=candidates[0]; let dist=Math.abs(nearest.y-unit.y); if(dist&lt;=unit.attackRange) return nearest; return null //不在范围内继续走</t>
        </is>
      </c>
      <c r="H57" s="37" t="inlineStr">
        <is>
          <t>MovementSystem.findTarget(unit,model)</t>
        </is>
      </c>
      <c r="I57" s="7" t="inlineStr">
        <is>
          <t>js/game/MovementSystem.js</t>
        </is>
      </c>
      <c r="J57" s="7" t="inlineStr">
        <is>
          <t>unit+model → Unit|Formation|null</t>
        </is>
      </c>
      <c r="K57" s="38" t="inlineStr">
        <is>
          <t>V1</t>
        </is>
      </c>
      <c r="L57" s="39" t="inlineStr">
        <is>
          <t>待办</t>
        </is>
      </c>
    </row>
    <row r="58" ht="56" customHeight="1">
      <c r="A58" s="34" t="inlineStr">
        <is>
          <t>L3
功能</t>
        </is>
      </c>
      <c r="B58" s="28" t="inlineStr">
        <is>
          <t>C3.03</t>
        </is>
      </c>
      <c r="C58" s="45" t="inlineStr">
        <is>
          <t>P3</t>
        </is>
      </c>
      <c r="D58" s="30" t="inlineStr"/>
      <c r="E58" s="30" t="inlineStr">
        <is>
          <t>C3.移动系统</t>
        </is>
      </c>
      <c r="F58" s="35" t="inlineStr">
        <is>
          <t>碰撞检测</t>
        </is>
      </c>
      <c r="G58" s="36" t="inlineStr">
        <is>
          <t>let dist=Math.abs(target.y-unit.y); return dist&lt;=unit.attackRange;</t>
        </is>
      </c>
      <c r="H58" s="37" t="inlineStr">
        <is>
          <t>MovementSystem.checkCollision(unit,target)</t>
        </is>
      </c>
      <c r="I58" s="7" t="inlineStr">
        <is>
          <t>js/game/MovementSystem.js</t>
        </is>
      </c>
      <c r="J58" s="7" t="inlineStr">
        <is>
          <t>unit+target → bool</t>
        </is>
      </c>
      <c r="K58" s="38" t="inlineStr">
        <is>
          <t>V1</t>
        </is>
      </c>
      <c r="L58" s="39" t="inlineStr">
        <is>
          <t>待办</t>
        </is>
      </c>
    </row>
    <row r="59" ht="56" customHeight="1">
      <c r="A59" s="34" t="inlineStr">
        <is>
          <t>L3
功能</t>
        </is>
      </c>
      <c r="B59" s="28" t="inlineStr">
        <is>
          <t>C3.04</t>
        </is>
      </c>
      <c r="C59" s="45" t="inlineStr">
        <is>
          <t>P3</t>
        </is>
      </c>
      <c r="D59" s="30" t="inlineStr"/>
      <c r="E59" s="30" t="inlineStr">
        <is>
          <t>C3.移动系统</t>
        </is>
      </c>
      <c r="F59" s="35" t="inlineStr">
        <is>
          <t>到达大殿检测</t>
        </is>
      </c>
      <c r="G59" s="36" t="inlineStr">
        <is>
          <t>if(unit.owner===0 &amp;&amp; unit.y&gt;=Constants.BOARD_LENGTH-1) return true; if(unit.owner===1 &amp;&amp; unit.y&lt;=0) return true; return false</t>
        </is>
      </c>
      <c r="H59" s="37" t="inlineStr">
        <is>
          <t>MovementSystem.checkHallReach(unit,model)</t>
        </is>
      </c>
      <c r="I59" s="7" t="inlineStr">
        <is>
          <t>js/game/MovementSystem.js</t>
        </is>
      </c>
      <c r="J59" s="7" t="inlineStr">
        <is>
          <t>unit+model → bool</t>
        </is>
      </c>
      <c r="K59" s="38" t="inlineStr">
        <is>
          <t>V1</t>
        </is>
      </c>
      <c r="L59" s="39" t="inlineStr">
        <is>
          <t>待办</t>
        </is>
      </c>
    </row>
    <row r="60" ht="24" customHeight="1">
      <c r="A60" s="31" t="inlineStr">
        <is>
          <t>L2
模块</t>
        </is>
      </c>
      <c r="B60" s="28" t="inlineStr">
        <is>
          <t>C4</t>
        </is>
      </c>
      <c r="C60" s="45" t="inlineStr">
        <is>
          <t>P3</t>
        </is>
      </c>
      <c r="D60" s="30" t="inlineStr"/>
      <c r="E60" s="33" t="inlineStr">
        <is>
          <t>C4.战斗系统</t>
        </is>
      </c>
      <c r="F60" s="30" t="inlineStr"/>
      <c r="G60" s="30" t="inlineStr"/>
      <c r="H60" s="30" t="inlineStr"/>
      <c r="I60" s="30" t="inlineStr"/>
      <c r="J60" s="30" t="inlineStr"/>
      <c r="K60" s="30" t="inlineStr">
        <is>
          <t>V1</t>
        </is>
      </c>
      <c r="L60" s="30" t="inlineStr"/>
    </row>
    <row r="61" ht="56" customHeight="1">
      <c r="A61" s="34" t="inlineStr">
        <is>
          <t>L3
功能</t>
        </is>
      </c>
      <c r="B61" s="28" t="inlineStr">
        <is>
          <t>C4.01</t>
        </is>
      </c>
      <c r="C61" s="45" t="inlineStr">
        <is>
          <t>P3</t>
        </is>
      </c>
      <c r="D61" s="30" t="inlineStr"/>
      <c r="E61" s="30" t="inlineStr">
        <is>
          <t>C4.战斗系统</t>
        </is>
      </c>
      <c r="F61" s="35" t="inlineStr">
        <is>
          <t>攻击主逻辑</t>
        </is>
      </c>
      <c r="G61" s="36" t="inlineStr">
        <is>
          <t>if(unit.state!=="fighting"||!unit.target) return; let now=model.elapsedTime; if(now-unit.lastAttackTime&gt;=unit.attackInterval){ if(unit.traits.includes("ranged")) CombatSystem.rangedAttack(unit,unit.target); else CombatSystem.meleeAttack(unit,unit.target); unit.lastAttackTime=now; //检查击杀 if(unit.target.hp&lt;=0) CombatSystem.handleKill(unit,unit.target) }</t>
        </is>
      </c>
      <c r="H61" s="37" t="inlineStr">
        <is>
          <t>CombatSystem.attack(unit,dt,model)</t>
        </is>
      </c>
      <c r="I61" s="7" t="inlineStr">
        <is>
          <t>js/game/CombatSystem.js</t>
        </is>
      </c>
      <c r="J61" s="7" t="inlineStr">
        <is>
          <t>unit+dt+model → void</t>
        </is>
      </c>
      <c r="K61" s="38" t="inlineStr">
        <is>
          <t>V1</t>
        </is>
      </c>
      <c r="L61" s="39" t="inlineStr">
        <is>
          <t>待办</t>
        </is>
      </c>
    </row>
    <row r="62" ht="56" customHeight="1">
      <c r="A62" s="34" t="inlineStr">
        <is>
          <t>L3
功能</t>
        </is>
      </c>
      <c r="B62" s="28" t="inlineStr">
        <is>
          <t>C4.02</t>
        </is>
      </c>
      <c r="C62" s="45" t="inlineStr">
        <is>
          <t>P3</t>
        </is>
      </c>
      <c r="D62" s="30" t="inlineStr"/>
      <c r="E62" s="30" t="inlineStr">
        <is>
          <t>C4.战斗系统</t>
        </is>
      </c>
      <c r="F62" s="35" t="inlineStr">
        <is>
          <t>近战互扣</t>
        </is>
      </c>
      <c r="G62" s="36" t="inlineStr">
        <is>
          <t>target.takeDamage(attacker.atk,attacker); attacker.takeDamage(target.atk,target); //双方同时掉血</t>
        </is>
      </c>
      <c r="H62" s="37" t="inlineStr">
        <is>
          <t>CombatSystem.meleeAttack(attacker,target)</t>
        </is>
      </c>
      <c r="I62" s="7" t="inlineStr">
        <is>
          <t>js/game/CombatSystem.js</t>
        </is>
      </c>
      <c r="J62" s="7" t="inlineStr">
        <is>
          <t>attacker+target → void</t>
        </is>
      </c>
      <c r="K62" s="38" t="inlineStr">
        <is>
          <t>V1</t>
        </is>
      </c>
      <c r="L62" s="39" t="inlineStr">
        <is>
          <t>待办</t>
        </is>
      </c>
    </row>
    <row r="63" ht="56" customHeight="1">
      <c r="A63" s="34" t="inlineStr">
        <is>
          <t>L3
功能</t>
        </is>
      </c>
      <c r="B63" s="28" t="inlineStr">
        <is>
          <t>C4.03</t>
        </is>
      </c>
      <c r="C63" s="45" t="inlineStr">
        <is>
          <t>P3</t>
        </is>
      </c>
      <c r="D63" s="30" t="inlineStr"/>
      <c r="E63" s="30" t="inlineStr">
        <is>
          <t>C4.战斗系统</t>
        </is>
      </c>
      <c r="F63" s="35" t="inlineStr">
        <is>
          <t>远程单方</t>
        </is>
      </c>
      <c r="G63" s="36" t="inlineStr">
        <is>
          <t>target.takeDamage(attacker.atk); //攻击者不掉血</t>
        </is>
      </c>
      <c r="H63" s="37" t="inlineStr">
        <is>
          <t>CombatSystem.rangedAttack(attacker,target)</t>
        </is>
      </c>
      <c r="I63" s="7" t="inlineStr">
        <is>
          <t>js/game/CombatSystem.js</t>
        </is>
      </c>
      <c r="J63" s="7" t="inlineStr">
        <is>
          <t>attacker+target → void</t>
        </is>
      </c>
      <c r="K63" s="38" t="inlineStr">
        <is>
          <t>V1</t>
        </is>
      </c>
      <c r="L63" s="39" t="inlineStr">
        <is>
          <t>待办</t>
        </is>
      </c>
    </row>
    <row r="64" ht="56" customHeight="1">
      <c r="A64" s="34" t="inlineStr">
        <is>
          <t>L3
功能</t>
        </is>
      </c>
      <c r="B64" s="28" t="inlineStr">
        <is>
          <t>C4.04</t>
        </is>
      </c>
      <c r="C64" s="47" t="inlineStr">
        <is>
          <t>P4</t>
        </is>
      </c>
      <c r="D64" s="30" t="inlineStr"/>
      <c r="E64" s="30" t="inlineStr">
        <is>
          <t>C4.战斗系统</t>
        </is>
      </c>
      <c r="F64" s="35" t="inlineStr">
        <is>
          <t>范围伤害</t>
        </is>
      </c>
      <c r="G64" s="36" t="inlineStr">
        <is>
          <t>for(let t of targets) t.takeDamage(damage)</t>
        </is>
      </c>
      <c r="H64" s="37" t="inlineStr">
        <is>
          <t>CombatSystem.aoeAttack(source,targets,damage)</t>
        </is>
      </c>
      <c r="I64" s="7" t="inlineStr">
        <is>
          <t>js/game/CombatSystem.js</t>
        </is>
      </c>
      <c r="J64" s="7" t="inlineStr">
        <is>
          <t>source+targets[]+damage → void</t>
        </is>
      </c>
      <c r="K64" s="38" t="inlineStr">
        <is>
          <t>V1</t>
        </is>
      </c>
      <c r="L64" s="39" t="inlineStr">
        <is>
          <t>待办</t>
        </is>
      </c>
    </row>
    <row r="65" ht="56" customHeight="1">
      <c r="A65" s="34" t="inlineStr">
        <is>
          <t>L3
功能</t>
        </is>
      </c>
      <c r="B65" s="28" t="inlineStr">
        <is>
          <t>C4.05</t>
        </is>
      </c>
      <c r="C65" s="45" t="inlineStr">
        <is>
          <t>P3</t>
        </is>
      </c>
      <c r="D65" s="30" t="inlineStr"/>
      <c r="E65" s="30" t="inlineStr">
        <is>
          <t>C4.战斗系统</t>
        </is>
      </c>
      <c r="F65" s="46" t="inlineStr">
        <is>
          <t>★击杀后继续推进★</t>
        </is>
      </c>
      <c r="G65" s="36" t="inlineStr">
        <is>
          <t>killer.state="walking"; killer.target=null; //不消失，继续走！这是核心修复</t>
        </is>
      </c>
      <c r="H65" s="37" t="inlineStr">
        <is>
          <t>CombatSystem.handleKill(killer,victim)</t>
        </is>
      </c>
      <c r="I65" s="7" t="inlineStr">
        <is>
          <t>js/game/CombatSystem.js</t>
        </is>
      </c>
      <c r="J65" s="7" t="inlineStr">
        <is>
          <t>killer+victim → void</t>
        </is>
      </c>
      <c r="K65" s="38" t="inlineStr">
        <is>
          <t>V1</t>
        </is>
      </c>
      <c r="L65" s="39" t="inlineStr">
        <is>
          <t>待办</t>
        </is>
      </c>
    </row>
    <row r="66" ht="56" customHeight="1">
      <c r="A66" s="34" t="inlineStr">
        <is>
          <t>L3
功能</t>
        </is>
      </c>
      <c r="B66" s="28" t="inlineStr">
        <is>
          <t>C4.06</t>
        </is>
      </c>
      <c r="C66" s="45" t="inlineStr">
        <is>
          <t>P3</t>
        </is>
      </c>
      <c r="D66" s="30" t="inlineStr"/>
      <c r="E66" s="30" t="inlineStr">
        <is>
          <t>C4.战斗系统</t>
        </is>
      </c>
      <c r="F66" s="35" t="inlineStr">
        <is>
          <t>大殿受伤</t>
        </is>
      </c>
      <c r="G66" s="36" t="inlineStr">
        <is>
          <t>if(player.hallShield&gt;0) return; //金钟罩免疫 player.hallHp-=amount; if(player.hallHp&lt;=0){ player.hallHp=0; model.state="ended"; model.winner=1-player.id }</t>
        </is>
      </c>
      <c r="H66" s="37" t="inlineStr">
        <is>
          <t>CombatSystem.damageHall(player,amount,model)</t>
        </is>
      </c>
      <c r="I66" s="7" t="inlineStr">
        <is>
          <t>js/game/CombatSystem.js</t>
        </is>
      </c>
      <c r="J66" s="7" t="inlineStr">
        <is>
          <t>player+amount+model → void</t>
        </is>
      </c>
      <c r="K66" s="38" t="inlineStr">
        <is>
          <t>V1</t>
        </is>
      </c>
      <c r="L66" s="39" t="inlineStr">
        <is>
          <t>待办</t>
        </is>
      </c>
    </row>
    <row r="67" ht="24" customHeight="1">
      <c r="A67" s="31" t="inlineStr">
        <is>
          <t>L2
模块</t>
        </is>
      </c>
      <c r="B67" s="28" t="inlineStr">
        <is>
          <t>C5</t>
        </is>
      </c>
      <c r="C67" s="47" t="inlineStr">
        <is>
          <t>P4</t>
        </is>
      </c>
      <c r="D67" s="30" t="inlineStr"/>
      <c r="E67" s="33" t="inlineStr">
        <is>
          <t>C5.阵法系统</t>
        </is>
      </c>
      <c r="F67" s="30" t="inlineStr"/>
      <c r="G67" s="30" t="inlineStr"/>
      <c r="H67" s="30" t="inlineStr"/>
      <c r="I67" s="30" t="inlineStr"/>
      <c r="J67" s="30" t="inlineStr"/>
      <c r="K67" s="30" t="inlineStr">
        <is>
          <t>V1</t>
        </is>
      </c>
      <c r="L67" s="30" t="inlineStr"/>
    </row>
    <row r="68" ht="56" customHeight="1">
      <c r="A68" s="34" t="inlineStr">
        <is>
          <t>L3
功能</t>
        </is>
      </c>
      <c r="B68" s="28" t="inlineStr">
        <is>
          <t>C5.01</t>
        </is>
      </c>
      <c r="C68" s="47" t="inlineStr">
        <is>
          <t>P4</t>
        </is>
      </c>
      <c r="D68" s="30" t="inlineStr"/>
      <c r="E68" s="30" t="inlineStr">
        <is>
          <t>C5.阵法系统</t>
        </is>
      </c>
      <c r="F68" s="35" t="inlineStr">
        <is>
          <t>布阵</t>
        </is>
      </c>
      <c r="G68" s="36" t="inlineStr">
        <is>
          <t>let key=gx+","+gy; if(player.formationCooldowns[key] &amp;&amp; model.elapsedTime&lt;player.formationCooldowns[key]) return false; //冷却中 let f=Formation.fromCard(cardId,player.id,gx,gy); player.formations.push(f); player.spendEnergy(card.cost); deck.playCard(handIndex); return true</t>
        </is>
      </c>
      <c r="H68" s="37" t="inlineStr">
        <is>
          <t>BattleLogic.placeFormation(player,cardId,gx,gy,model)</t>
        </is>
      </c>
      <c r="I68" s="7" t="inlineStr">
        <is>
          <t>js/game/BattleLogic.js</t>
        </is>
      </c>
      <c r="J68" s="7" t="inlineStr">
        <is>
          <t>player+cardId+gx+gy+model → bool</t>
        </is>
      </c>
      <c r="K68" s="38" t="inlineStr">
        <is>
          <t>V1</t>
        </is>
      </c>
      <c r="L68" s="39" t="inlineStr">
        <is>
          <t>待办</t>
        </is>
      </c>
    </row>
    <row r="69" ht="56" customHeight="1">
      <c r="A69" s="34" t="inlineStr">
        <is>
          <t>L3
功能</t>
        </is>
      </c>
      <c r="B69" s="28" t="inlineStr">
        <is>
          <t>C5.02</t>
        </is>
      </c>
      <c r="C69" s="47" t="inlineStr">
        <is>
          <t>P4</t>
        </is>
      </c>
      <c r="D69" s="30" t="inlineStr"/>
      <c r="E69" s="30" t="inlineStr">
        <is>
          <t>C5.阵法系统</t>
        </is>
      </c>
      <c r="F69" s="35" t="inlineStr">
        <is>
          <t>阵法攻击</t>
        </is>
      </c>
      <c r="G69" s="36" t="inlineStr">
        <is>
          <t>if(!f.isActive) return; //被禁 let enemies=model.getEnemyUnits(f.owner); for(let e of enemies){ if(e.x===f.gridX &amp;&amp; Math.abs(e.y-f.gridY)&lt;=f.range){ let now=model.elapsedTime; if(now-f.lastAttackTime&gt;=f.attackInterval){ CombatSystem.rangedAttack(f,e); f.lastAttackTime=now; break } } }</t>
        </is>
      </c>
      <c r="H69" s="37" t="inlineStr">
        <is>
          <t>Formation.update(f,dt,model)</t>
        </is>
      </c>
      <c r="I69" s="7" t="inlineStr">
        <is>
          <t>js/game/Formation.js</t>
        </is>
      </c>
      <c r="J69" s="7" t="inlineStr">
        <is>
          <t>f+dt+model → void</t>
        </is>
      </c>
      <c r="K69" s="38" t="inlineStr">
        <is>
          <t>V1</t>
        </is>
      </c>
      <c r="L69" s="39" t="inlineStr">
        <is>
          <t>待办</t>
        </is>
      </c>
    </row>
    <row r="70" ht="56" customHeight="1">
      <c r="A70" s="34" t="inlineStr">
        <is>
          <t>L3
功能</t>
        </is>
      </c>
      <c r="B70" s="28" t="inlineStr">
        <is>
          <t>C5.03</t>
        </is>
      </c>
      <c r="C70" s="47" t="inlineStr">
        <is>
          <t>P4</t>
        </is>
      </c>
      <c r="D70" s="30" t="inlineStr"/>
      <c r="E70" s="30" t="inlineStr">
        <is>
          <t>C5.阵法系统</t>
        </is>
      </c>
      <c r="F70" s="35" t="inlineStr">
        <is>
          <t>阵法冷却</t>
        </is>
      </c>
      <c r="G70" s="36" t="inlineStr">
        <is>
          <t>let key=gx+","+gy; return !player.formationCooldowns[key] || model.elapsedTime&gt;=player.formationCooldowns[key]; //true=可布阵</t>
        </is>
      </c>
      <c r="H70" s="37" t="inlineStr">
        <is>
          <t>Player.checkCooldown(gx,gy,model)</t>
        </is>
      </c>
      <c r="I70" s="7" t="inlineStr">
        <is>
          <t>js/game/Player.js</t>
        </is>
      </c>
      <c r="J70" s="7" t="inlineStr">
        <is>
          <t>gx+gy+model → bool</t>
        </is>
      </c>
      <c r="K70" s="38" t="inlineStr">
        <is>
          <t>V1</t>
        </is>
      </c>
      <c r="L70" s="39" t="inlineStr">
        <is>
          <t>待办</t>
        </is>
      </c>
    </row>
    <row r="71" ht="56" customHeight="1">
      <c r="A71" s="34" t="inlineStr">
        <is>
          <t>L3
功能</t>
        </is>
      </c>
      <c r="B71" s="28" t="inlineStr">
        <is>
          <t>C5.04</t>
        </is>
      </c>
      <c r="C71" s="47" t="inlineStr">
        <is>
          <t>P4</t>
        </is>
      </c>
      <c r="D71" s="30" t="inlineStr"/>
      <c r="E71" s="30" t="inlineStr">
        <is>
          <t>C5.阵法系统</t>
        </is>
      </c>
      <c r="F71" s="35" t="inlineStr">
        <is>
          <t>阵法被禁</t>
        </is>
      </c>
      <c r="G71" s="36" t="inlineStr">
        <is>
          <t>f.isActive=false; f.silenceTimer=duration; //在update中倒数，到0恢复isActive=true</t>
        </is>
      </c>
      <c r="H71" s="37" t="inlineStr">
        <is>
          <t>Formation.setSilence(duration)</t>
        </is>
      </c>
      <c r="I71" s="7" t="inlineStr">
        <is>
          <t>js/game/Formation.js</t>
        </is>
      </c>
      <c r="J71" s="7" t="inlineStr">
        <is>
          <t>duration:number → void</t>
        </is>
      </c>
      <c r="K71" s="38" t="inlineStr">
        <is>
          <t>V1</t>
        </is>
      </c>
      <c r="L71" s="39" t="inlineStr">
        <is>
          <t>待办</t>
        </is>
      </c>
    </row>
    <row r="72" ht="24" customHeight="1">
      <c r="A72" s="31" t="inlineStr">
        <is>
          <t>L2
模块</t>
        </is>
      </c>
      <c r="B72" s="28" t="inlineStr">
        <is>
          <t>C6</t>
        </is>
      </c>
      <c r="C72" s="47" t="inlineStr">
        <is>
          <t>P4</t>
        </is>
      </c>
      <c r="D72" s="30" t="inlineStr"/>
      <c r="E72" s="33" t="inlineStr">
        <is>
          <t>C6.法术系统</t>
        </is>
      </c>
      <c r="F72" s="30" t="inlineStr"/>
      <c r="G72" s="30" t="inlineStr"/>
      <c r="H72" s="30" t="inlineStr"/>
      <c r="I72" s="30" t="inlineStr"/>
      <c r="J72" s="30" t="inlineStr"/>
      <c r="K72" s="30" t="inlineStr">
        <is>
          <t>V1</t>
        </is>
      </c>
      <c r="L72" s="30" t="inlineStr"/>
    </row>
    <row r="73" ht="56" customHeight="1">
      <c r="A73" s="34" t="inlineStr">
        <is>
          <t>L3
功能</t>
        </is>
      </c>
      <c r="B73" s="28" t="inlineStr">
        <is>
          <t>C6.01</t>
        </is>
      </c>
      <c r="C73" s="47" t="inlineStr">
        <is>
          <t>P4</t>
        </is>
      </c>
      <c r="D73" s="30" t="inlineStr"/>
      <c r="E73" s="30" t="inlineStr">
        <is>
          <t>C6.法术系统</t>
        </is>
      </c>
      <c r="F73" s="35" t="inlineStr">
        <is>
          <t>法术入口</t>
        </is>
      </c>
      <c r="G73" s="36" t="inlineStr">
        <is>
          <t>switch(cardId){ case "wan_jian": this.castWanJian(caster,model); break; case "wu_lei": this.castWuLei(target,model); break; ... }</t>
        </is>
      </c>
      <c r="H73" s="37" t="inlineStr">
        <is>
          <t>SpellSystem.cast(cardId,caster,target,model)</t>
        </is>
      </c>
      <c r="I73" s="7" t="inlineStr">
        <is>
          <t>js/game/SpellSystem.js</t>
        </is>
      </c>
      <c r="J73" s="7" t="inlineStr">
        <is>
          <t>cardId+caster+target+model → void</t>
        </is>
      </c>
      <c r="K73" s="38" t="inlineStr">
        <is>
          <t>V1</t>
        </is>
      </c>
      <c r="L73" s="39" t="inlineStr">
        <is>
          <t>待办</t>
        </is>
      </c>
    </row>
    <row r="74" ht="56" customHeight="1">
      <c r="A74" s="34" t="inlineStr">
        <is>
          <t>L3
功能</t>
        </is>
      </c>
      <c r="B74" s="28" t="inlineStr">
        <is>
          <t>C6.02</t>
        </is>
      </c>
      <c r="C74" s="47" t="inlineStr">
        <is>
          <t>P4</t>
        </is>
      </c>
      <c r="D74" s="30" t="inlineStr"/>
      <c r="E74" s="30" t="inlineStr">
        <is>
          <t>C6.法术系统</t>
        </is>
      </c>
      <c r="F74" s="35" t="inlineStr">
        <is>
          <t>万剑归宗</t>
        </is>
      </c>
      <c r="G74" s="36" t="inlineStr">
        <is>
          <t>let units=model.players[caster].units; for(let u of units){ u.atk+=1; u.addBuff("speed",0.3,5) }</t>
        </is>
      </c>
      <c r="H74" s="37" t="inlineStr">
        <is>
          <t>SpellSystem.castWanJian(casterId,model)</t>
        </is>
      </c>
      <c r="I74" s="7" t="inlineStr">
        <is>
          <t>js/game/SpellSystem.js</t>
        </is>
      </c>
      <c r="J74" s="7" t="inlineStr">
        <is>
          <t>casterId:int+model → void</t>
        </is>
      </c>
      <c r="K74" s="38" t="inlineStr">
        <is>
          <t>V1</t>
        </is>
      </c>
      <c r="L74" s="39" t="inlineStr">
        <is>
          <t>待办</t>
        </is>
      </c>
    </row>
    <row r="75" ht="56" customHeight="1">
      <c r="A75" s="34" t="inlineStr">
        <is>
          <t>L3
功能</t>
        </is>
      </c>
      <c r="B75" s="28" t="inlineStr">
        <is>
          <t>C6.03</t>
        </is>
      </c>
      <c r="C75" s="47" t="inlineStr">
        <is>
          <t>P4</t>
        </is>
      </c>
      <c r="D75" s="30" t="inlineStr"/>
      <c r="E75" s="30" t="inlineStr">
        <is>
          <t>C6.法术系统</t>
        </is>
      </c>
      <c r="F75" s="35" t="inlineStr">
        <is>
          <t>五雷正法</t>
        </is>
      </c>
      <c r="G75" s="36" t="inlineStr">
        <is>
          <t>let enemies=model.getEnemyUnits(caster).concat(model.getEnemyFormations(caster)); let inRange=enemies.filter(e=&gt;Math.abs(e.y-target.y)&lt;=3 &amp;&amp; Math.abs(e.x-target.x)&lt;=1); for(let e of inRange) e.takeDamage(4)</t>
        </is>
      </c>
      <c r="H75" s="37" t="inlineStr">
        <is>
          <t>SpellSystem.castWuLei(target,casterId,model)</t>
        </is>
      </c>
      <c r="I75" s="7" t="inlineStr">
        <is>
          <t>js/game/SpellSystem.js</t>
        </is>
      </c>
      <c r="J75" s="7" t="inlineStr">
        <is>
          <t>target{x,y}+casterId+model → void</t>
        </is>
      </c>
      <c r="K75" s="38" t="inlineStr">
        <is>
          <t>V1</t>
        </is>
      </c>
      <c r="L75" s="39" t="inlineStr">
        <is>
          <t>待办</t>
        </is>
      </c>
    </row>
    <row r="76" ht="56" customHeight="1">
      <c r="A76" s="34" t="inlineStr">
        <is>
          <t>L3
功能</t>
        </is>
      </c>
      <c r="B76" s="28" t="inlineStr">
        <is>
          <t>C6.04</t>
        </is>
      </c>
      <c r="C76" s="47" t="inlineStr">
        <is>
          <t>P4</t>
        </is>
      </c>
      <c r="D76" s="30" t="inlineStr"/>
      <c r="E76" s="30" t="inlineStr">
        <is>
          <t>C6.法术系统</t>
        </is>
      </c>
      <c r="F76" s="35" t="inlineStr">
        <is>
          <t>御风诀</t>
        </is>
      </c>
      <c r="G76" s="36" t="inlineStr">
        <is>
          <t>target.addBuff("speed",0.5,5)</t>
        </is>
      </c>
      <c r="H76" s="37" t="inlineStr">
        <is>
          <t>SpellSystem.castYuFeng(target)</t>
        </is>
      </c>
      <c r="I76" s="7" t="inlineStr">
        <is>
          <t>js/game/SpellSystem.js</t>
        </is>
      </c>
      <c r="J76" s="7" t="inlineStr">
        <is>
          <t>target:Unit → void</t>
        </is>
      </c>
      <c r="K76" s="38" t="inlineStr">
        <is>
          <t>V1</t>
        </is>
      </c>
      <c r="L76" s="39" t="inlineStr">
        <is>
          <t>待办</t>
        </is>
      </c>
    </row>
    <row r="77" ht="56" customHeight="1">
      <c r="A77" s="34" t="inlineStr">
        <is>
          <t>L3
功能</t>
        </is>
      </c>
      <c r="B77" s="28" t="inlineStr">
        <is>
          <t>C6.05</t>
        </is>
      </c>
      <c r="C77" s="47" t="inlineStr">
        <is>
          <t>P4</t>
        </is>
      </c>
      <c r="D77" s="30" t="inlineStr"/>
      <c r="E77" s="30" t="inlineStr">
        <is>
          <t>C6.法术系统</t>
        </is>
      </c>
      <c r="F77" s="35" t="inlineStr">
        <is>
          <t>镇魂符</t>
        </is>
      </c>
      <c r="G77" s="36" t="inlineStr">
        <is>
          <t>target.setSilence(3)</t>
        </is>
      </c>
      <c r="H77" s="37" t="inlineStr">
        <is>
          <t>SpellSystem.castZhenHun(target)</t>
        </is>
      </c>
      <c r="I77" s="7" t="inlineStr">
        <is>
          <t>js/game/SpellSystem.js</t>
        </is>
      </c>
      <c r="J77" s="7" t="inlineStr">
        <is>
          <t>target:Formation → void</t>
        </is>
      </c>
      <c r="K77" s="38" t="inlineStr">
        <is>
          <t>V1</t>
        </is>
      </c>
      <c r="L77" s="39" t="inlineStr">
        <is>
          <t>待办</t>
        </is>
      </c>
    </row>
    <row r="78" ht="56" customHeight="1">
      <c r="A78" s="34" t="inlineStr">
        <is>
          <t>L3
功能</t>
        </is>
      </c>
      <c r="B78" s="28" t="inlineStr">
        <is>
          <t>C6.06</t>
        </is>
      </c>
      <c r="C78" s="47" t="inlineStr">
        <is>
          <t>P4</t>
        </is>
      </c>
      <c r="D78" s="30" t="inlineStr"/>
      <c r="E78" s="30" t="inlineStr">
        <is>
          <t>C6.法术系统</t>
        </is>
      </c>
      <c r="F78" s="35" t="inlineStr">
        <is>
          <t>金钟罩</t>
        </is>
      </c>
      <c r="G78" s="36" t="inlineStr">
        <is>
          <t>model.players[casterId].hallShield=3</t>
        </is>
      </c>
      <c r="H78" s="37" t="inlineStr">
        <is>
          <t>SpellSystem.castJinZhong(casterId,model)</t>
        </is>
      </c>
      <c r="I78" s="7" t="inlineStr">
        <is>
          <t>js/game/SpellSystem.js</t>
        </is>
      </c>
      <c r="J78" s="7" t="inlineStr">
        <is>
          <t>casterId+model → void</t>
        </is>
      </c>
      <c r="K78" s="38" t="inlineStr">
        <is>
          <t>V1</t>
        </is>
      </c>
      <c r="L78" s="39" t="inlineStr">
        <is>
          <t>待办</t>
        </is>
      </c>
    </row>
    <row r="79" ht="56" customHeight="1">
      <c r="A79" s="34" t="inlineStr">
        <is>
          <t>L3
功能</t>
        </is>
      </c>
      <c r="B79" s="28" t="inlineStr">
        <is>
          <t>C6.07</t>
        </is>
      </c>
      <c r="C79" s="47" t="inlineStr">
        <is>
          <t>P4</t>
        </is>
      </c>
      <c r="D79" s="30" t="inlineStr"/>
      <c r="E79" s="30" t="inlineStr">
        <is>
          <t>C6.法术系统</t>
        </is>
      </c>
      <c r="F79" s="35" t="inlineStr">
        <is>
          <t>移山倒海</t>
        </is>
      </c>
      <c r="G79" s="36" t="inlineStr">
        <is>
          <t>for(let t of targets){ t.y-=2*t.facing; t.takeDamage(1) }</t>
        </is>
      </c>
      <c r="H79" s="37" t="inlineStr">
        <is>
          <t>SpellSystem.castYiShan(targets)</t>
        </is>
      </c>
      <c r="I79" s="7" t="inlineStr">
        <is>
          <t>js/game/SpellSystem.js</t>
        </is>
      </c>
      <c r="J79" s="7" t="inlineStr">
        <is>
          <t>targets:Unit[] → void</t>
        </is>
      </c>
      <c r="K79" s="38" t="inlineStr">
        <is>
          <t>V1</t>
        </is>
      </c>
      <c r="L79" s="39" t="inlineStr">
        <is>
          <t>待办</t>
        </is>
      </c>
    </row>
    <row r="80" ht="56" customHeight="1">
      <c r="A80" s="34" t="inlineStr">
        <is>
          <t>L3
功能</t>
        </is>
      </c>
      <c r="B80" s="28" t="inlineStr">
        <is>
          <t>C6.08</t>
        </is>
      </c>
      <c r="C80" s="47" t="inlineStr">
        <is>
          <t>P4</t>
        </is>
      </c>
      <c r="D80" s="30" t="inlineStr"/>
      <c r="E80" s="30" t="inlineStr">
        <is>
          <t>C6.法术系统</t>
        </is>
      </c>
      <c r="F80" s="35" t="inlineStr">
        <is>
          <t>困仙索</t>
        </is>
      </c>
      <c r="G80" s="36" t="inlineStr">
        <is>
          <t>target.addBuff("stun",0,2)</t>
        </is>
      </c>
      <c r="H80" s="37" t="inlineStr">
        <is>
          <t>SpellSystem.castKunXian(target)</t>
        </is>
      </c>
      <c r="I80" s="7" t="inlineStr">
        <is>
          <t>js/game/SpellSystem.js</t>
        </is>
      </c>
      <c r="J80" s="7" t="inlineStr">
        <is>
          <t>target:Unit → void</t>
        </is>
      </c>
      <c r="K80" s="38" t="inlineStr">
        <is>
          <t>V1</t>
        </is>
      </c>
      <c r="L80" s="39" t="inlineStr">
        <is>
          <t>待办</t>
        </is>
      </c>
    </row>
    <row r="81" ht="56" customHeight="1">
      <c r="A81" s="34" t="inlineStr">
        <is>
          <t>L3
功能</t>
        </is>
      </c>
      <c r="B81" s="28" t="inlineStr">
        <is>
          <t>C6.09</t>
        </is>
      </c>
      <c r="C81" s="47" t="inlineStr">
        <is>
          <t>P4</t>
        </is>
      </c>
      <c r="D81" s="30" t="inlineStr"/>
      <c r="E81" s="30" t="inlineStr">
        <is>
          <t>C6.法术系统</t>
        </is>
      </c>
      <c r="F81" s="35" t="inlineStr">
        <is>
          <t>天雷诀</t>
        </is>
      </c>
      <c r="G81" s="36" t="inlineStr">
        <is>
          <t>for(let t of targets) t.takeDamage(4)</t>
        </is>
      </c>
      <c r="H81" s="37" t="inlineStr">
        <is>
          <t>SpellSystem.castTianLei(targets)</t>
        </is>
      </c>
      <c r="I81" s="7" t="inlineStr">
        <is>
          <t>js/game/SpellSystem.js</t>
        </is>
      </c>
      <c r="J81" s="7" t="inlineStr">
        <is>
          <t>targets:Unit[] → void</t>
        </is>
      </c>
      <c r="K81" s="38" t="inlineStr">
        <is>
          <t>V1</t>
        </is>
      </c>
      <c r="L81" s="39" t="inlineStr">
        <is>
          <t>待办</t>
        </is>
      </c>
    </row>
    <row r="82" ht="24" customHeight="1">
      <c r="A82" s="31" t="inlineStr">
        <is>
          <t>L2
模块</t>
        </is>
      </c>
      <c r="B82" s="28" t="inlineStr">
        <is>
          <t>C7</t>
        </is>
      </c>
      <c r="C82" s="47" t="inlineStr">
        <is>
          <t>P4</t>
        </is>
      </c>
      <c r="D82" s="30" t="inlineStr"/>
      <c r="E82" s="33" t="inlineStr">
        <is>
          <t>C7.长老技能</t>
        </is>
      </c>
      <c r="F82" s="30" t="inlineStr"/>
      <c r="G82" s="30" t="inlineStr"/>
      <c r="H82" s="30" t="inlineStr"/>
      <c r="I82" s="30" t="inlineStr"/>
      <c r="J82" s="30" t="inlineStr"/>
      <c r="K82" s="30" t="inlineStr">
        <is>
          <t>V1</t>
        </is>
      </c>
      <c r="L82" s="30" t="inlineStr"/>
    </row>
    <row r="83" ht="56" customHeight="1">
      <c r="A83" s="34" t="inlineStr">
        <is>
          <t>L3
功能</t>
        </is>
      </c>
      <c r="B83" s="28" t="inlineStr">
        <is>
          <t>C7.01</t>
        </is>
      </c>
      <c r="C83" s="47" t="inlineStr">
        <is>
          <t>P4</t>
        </is>
      </c>
      <c r="D83" s="30" t="inlineStr"/>
      <c r="E83" s="30" t="inlineStr">
        <is>
          <t>C7.长老技能</t>
        </is>
      </c>
      <c r="F83" s="35" t="inlineStr">
        <is>
          <t>技能计时</t>
        </is>
      </c>
      <c r="G83" s="36" t="inlineStr">
        <is>
          <t>if(!unit.isElder) return; unit.elderTimer+=dt; if(unit.elderTimer&gt;=5.0){ unit.elderTimer=0; ElderSkillSystem.triggerRandom(unit,model) }</t>
        </is>
      </c>
      <c r="H83" s="37" t="inlineStr">
        <is>
          <t>ElderSkillSystem.update(unit,dt,model)</t>
        </is>
      </c>
      <c r="I83" s="7" t="inlineStr">
        <is>
          <t>js/game/ElderSkillSystem.js</t>
        </is>
      </c>
      <c r="J83" s="7" t="inlineStr">
        <is>
          <t>unit+dt+model → void</t>
        </is>
      </c>
      <c r="K83" s="38" t="inlineStr">
        <is>
          <t>V1</t>
        </is>
      </c>
      <c r="L83" s="39" t="inlineStr">
        <is>
          <t>待办</t>
        </is>
      </c>
    </row>
    <row r="84" ht="56" customHeight="1">
      <c r="A84" s="34" t="inlineStr">
        <is>
          <t>L3
功能</t>
        </is>
      </c>
      <c r="B84" s="28" t="inlineStr">
        <is>
          <t>C7.02</t>
        </is>
      </c>
      <c r="C84" s="47" t="inlineStr">
        <is>
          <t>P4</t>
        </is>
      </c>
      <c r="D84" s="30" t="inlineStr"/>
      <c r="E84" s="30" t="inlineStr">
        <is>
          <t>C7.长老技能</t>
        </is>
      </c>
      <c r="F84" s="46" t="inlineStr">
        <is>
          <t>★随机分支★</t>
        </is>
      </c>
      <c r="G84" s="36" t="inlineStr">
        <is>
          <t>let branches=["flyingSword","pill","talisman","beast"]; let idx=Math.floor(Math.random()*4); this[branches[idx]](elder,model);</t>
        </is>
      </c>
      <c r="H84" s="37" t="inlineStr">
        <is>
          <t>ElderSkillSystem.triggerRandom(elder,model)</t>
        </is>
      </c>
      <c r="I84" s="7" t="inlineStr">
        <is>
          <t>js/game/ElderSkillSystem.js</t>
        </is>
      </c>
      <c r="J84" s="7" t="inlineStr">
        <is>
          <t>elder+model → void</t>
        </is>
      </c>
      <c r="K84" s="38" t="inlineStr">
        <is>
          <t>V1</t>
        </is>
      </c>
      <c r="L84" s="39" t="inlineStr">
        <is>
          <t>待办</t>
        </is>
      </c>
    </row>
    <row r="85" ht="56" customHeight="1">
      <c r="A85" s="34" t="inlineStr">
        <is>
          <t>L3
功能</t>
        </is>
      </c>
      <c r="B85" s="28" t="inlineStr">
        <is>
          <t>C7.03</t>
        </is>
      </c>
      <c r="C85" s="47" t="inlineStr">
        <is>
          <t>P4</t>
        </is>
      </c>
      <c r="D85" s="30" t="inlineStr"/>
      <c r="E85" s="30" t="inlineStr">
        <is>
          <t>C7.长老技能</t>
        </is>
      </c>
      <c r="F85" s="35" t="inlineStr">
        <is>
          <t>飞剑分支</t>
        </is>
      </c>
      <c r="G85" s="36" t="inlineStr">
        <is>
          <t>let enemies=model.getEnemyUnits(elder.owner); let nearby=enemies.filter(e=&gt;Math.abs(e.y-elder.y)&lt;=3); CombatSystem.aoeAttack(elder,nearby,3)</t>
        </is>
      </c>
      <c r="H85" s="37" t="inlineStr">
        <is>
          <t>ElderSkillSystem.flyingSword(elder,model)</t>
        </is>
      </c>
      <c r="I85" s="7" t="inlineStr">
        <is>
          <t>js/game/ElderSkillSystem.js</t>
        </is>
      </c>
      <c r="J85" s="7" t="inlineStr">
        <is>
          <t>elder+model → void</t>
        </is>
      </c>
      <c r="K85" s="38" t="inlineStr">
        <is>
          <t>V1</t>
        </is>
      </c>
      <c r="L85" s="39" t="inlineStr">
        <is>
          <t>待办</t>
        </is>
      </c>
    </row>
    <row r="86" ht="56" customHeight="1">
      <c r="A86" s="34" t="inlineStr">
        <is>
          <t>L3
功能</t>
        </is>
      </c>
      <c r="B86" s="28" t="inlineStr">
        <is>
          <t>C7.04</t>
        </is>
      </c>
      <c r="C86" s="47" t="inlineStr">
        <is>
          <t>P4</t>
        </is>
      </c>
      <c r="D86" s="30" t="inlineStr"/>
      <c r="E86" s="30" t="inlineStr">
        <is>
          <t>C7.长老技能</t>
        </is>
      </c>
      <c r="F86" s="35" t="inlineStr">
        <is>
          <t>丹药分支</t>
        </is>
      </c>
      <c r="G86" s="36" t="inlineStr">
        <is>
          <t>elder.hp=Math.min(elder.maxHp,elder.hp+3); let allies=model.players[elder.owner].units; for(let a of allies){ if(a!==elder &amp;&amp; Math.abs(a.y-elder.y)&lt;=2) a.hp=Math.min(a.maxHp,a.hp+2) }</t>
        </is>
      </c>
      <c r="H86" s="37" t="inlineStr">
        <is>
          <t>ElderSkillSystem.pill(elder,model)</t>
        </is>
      </c>
      <c r="I86" s="7" t="inlineStr">
        <is>
          <t>js/game/ElderSkillSystem.js</t>
        </is>
      </c>
      <c r="J86" s="7" t="inlineStr">
        <is>
          <t>elder+model → void</t>
        </is>
      </c>
      <c r="K86" s="38" t="inlineStr">
        <is>
          <t>V1</t>
        </is>
      </c>
      <c r="L86" s="39" t="inlineStr">
        <is>
          <t>待办</t>
        </is>
      </c>
    </row>
    <row r="87" ht="56" customHeight="1">
      <c r="A87" s="34" t="inlineStr">
        <is>
          <t>L3
功能</t>
        </is>
      </c>
      <c r="B87" s="28" t="inlineStr">
        <is>
          <t>C7.05</t>
        </is>
      </c>
      <c r="C87" s="47" t="inlineStr">
        <is>
          <t>P4</t>
        </is>
      </c>
      <c r="D87" s="30" t="inlineStr"/>
      <c r="E87" s="30" t="inlineStr">
        <is>
          <t>C7.长老技能</t>
        </is>
      </c>
      <c r="F87" s="35" t="inlineStr">
        <is>
          <t>符箓分支</t>
        </is>
      </c>
      <c r="G87" s="36" t="inlineStr">
        <is>
          <t>let enemies=model.getEnemyUnits(elder.owner); let front=enemies.filter(e=&gt;Math.abs(e.y-elder.y)&lt;=3); SpellSystem.castTianLei(front)</t>
        </is>
      </c>
      <c r="H87" s="37" t="inlineStr">
        <is>
          <t>ElderSkillSystem.talisman(elder,model)</t>
        </is>
      </c>
      <c r="I87" s="7" t="inlineStr">
        <is>
          <t>js/game/ElderSkillSystem.js</t>
        </is>
      </c>
      <c r="J87" s="7" t="inlineStr">
        <is>
          <t>elder+model → void</t>
        </is>
      </c>
      <c r="K87" s="38" t="inlineStr">
        <is>
          <t>V1</t>
        </is>
      </c>
      <c r="L87" s="39" t="inlineStr">
        <is>
          <t>待办</t>
        </is>
      </c>
    </row>
    <row r="88" ht="56" customHeight="1">
      <c r="A88" s="34" t="inlineStr">
        <is>
          <t>L3
功能</t>
        </is>
      </c>
      <c r="B88" s="28" t="inlineStr">
        <is>
          <t>C7.06</t>
        </is>
      </c>
      <c r="C88" s="47" t="inlineStr">
        <is>
          <t>P4</t>
        </is>
      </c>
      <c r="D88" s="30" t="inlineStr"/>
      <c r="E88" s="30" t="inlineStr">
        <is>
          <t>C7.长老技能</t>
        </is>
      </c>
      <c r="F88" s="35" t="inlineStr">
        <is>
          <t>御兽分支</t>
        </is>
      </c>
      <c r="G88" s="36" t="inlineStr">
        <is>
          <t>let beast=Unit.fromCard("spirit_beast",elder.owner,elder.x,elder.y); model.players[elder.owner].units.push(beast)</t>
        </is>
      </c>
      <c r="H88" s="37" t="inlineStr">
        <is>
          <t>ElderSkillSystem.beast(elder,model)</t>
        </is>
      </c>
      <c r="I88" s="7" t="inlineStr">
        <is>
          <t>js/game/ElderSkillSystem.js</t>
        </is>
      </c>
      <c r="J88" s="7" t="inlineStr">
        <is>
          <t>elder+model → void</t>
        </is>
      </c>
      <c r="K88" s="38" t="inlineStr">
        <is>
          <t>V1</t>
        </is>
      </c>
      <c r="L88" s="39" t="inlineStr">
        <is>
          <t>待办</t>
        </is>
      </c>
    </row>
    <row r="89" ht="24" customHeight="1">
      <c r="A89" s="31" t="inlineStr">
        <is>
          <t>L2
模块</t>
        </is>
      </c>
      <c r="B89" s="28" t="inlineStr">
        <is>
          <t>C8</t>
        </is>
      </c>
      <c r="C89" s="47" t="inlineStr">
        <is>
          <t>P4</t>
        </is>
      </c>
      <c r="D89" s="30" t="inlineStr"/>
      <c r="E89" s="33" t="inlineStr">
        <is>
          <t>C8.灵力系统</t>
        </is>
      </c>
      <c r="F89" s="30" t="inlineStr"/>
      <c r="G89" s="30" t="inlineStr"/>
      <c r="H89" s="30" t="inlineStr"/>
      <c r="I89" s="30" t="inlineStr"/>
      <c r="J89" s="30" t="inlineStr"/>
      <c r="K89" s="30" t="inlineStr">
        <is>
          <t>V1</t>
        </is>
      </c>
      <c r="L89" s="30" t="inlineStr"/>
    </row>
    <row r="90" ht="56" customHeight="1">
      <c r="A90" s="34" t="inlineStr">
        <is>
          <t>L3
功能</t>
        </is>
      </c>
      <c r="B90" s="28" t="inlineStr">
        <is>
          <t>C8.01</t>
        </is>
      </c>
      <c r="C90" s="47" t="inlineStr">
        <is>
          <t>P4</t>
        </is>
      </c>
      <c r="D90" s="30" t="inlineStr"/>
      <c r="E90" s="30" t="inlineStr">
        <is>
          <t>C8.灵力系统</t>
        </is>
      </c>
      <c r="F90" s="35" t="inlineStr">
        <is>
          <t>实时回复</t>
        </is>
      </c>
      <c r="G90" s="36" t="inlineStr">
        <is>
          <t>let regenRate=model.state==="overtime"?Constants.ENERGY_REGEN/1.5:Constants.ENERGY_REGEN; player.energyTimer+=dt; if(player.energyTimer&gt;=regenRate){ player.energyTimer-=regenRate; player.energy=Math.min(player.energyMax,player.energy+1) }</t>
        </is>
      </c>
      <c r="H90" s="37" t="inlineStr">
        <is>
          <t>Player.updateEnergy(dt,model)</t>
        </is>
      </c>
      <c r="I90" s="7" t="inlineStr">
        <is>
          <t>js/game/Player.js</t>
        </is>
      </c>
      <c r="J90" s="7" t="inlineStr">
        <is>
          <t>dt+model → void</t>
        </is>
      </c>
      <c r="K90" s="38" t="inlineStr">
        <is>
          <t>V1</t>
        </is>
      </c>
      <c r="L90" s="39" t="inlineStr">
        <is>
          <t>待办</t>
        </is>
      </c>
    </row>
    <row r="91" ht="56" customHeight="1">
      <c r="A91" s="34" t="inlineStr">
        <is>
          <t>L3
功能</t>
        </is>
      </c>
      <c r="B91" s="28" t="inlineStr">
        <is>
          <t>C8.02</t>
        </is>
      </c>
      <c r="C91" s="47" t="inlineStr">
        <is>
          <t>P4</t>
        </is>
      </c>
      <c r="D91" s="30" t="inlineStr"/>
      <c r="E91" s="30" t="inlineStr">
        <is>
          <t>C8.灵力系统</t>
        </is>
      </c>
      <c r="F91" s="35" t="inlineStr">
        <is>
          <t>上限增长</t>
        </is>
      </c>
      <c r="G91" s="36" t="inlineStr">
        <is>
          <t>let newMax=Math.min(Constants.ENERGY_MAX_CAP, Constants.ENERGY_START+Math.floor(model.elapsedTime/30)); player.energyMax=newMax</t>
        </is>
      </c>
      <c r="H91" s="37" t="inlineStr">
        <is>
          <t>Player.updateEnergyMax(model)</t>
        </is>
      </c>
      <c r="I91" s="7" t="inlineStr">
        <is>
          <t>js/game/Player.js</t>
        </is>
      </c>
      <c r="J91" s="7" t="inlineStr">
        <is>
          <t>model → void</t>
        </is>
      </c>
      <c r="K91" s="38" t="inlineStr">
        <is>
          <t>V1</t>
        </is>
      </c>
      <c r="L91" s="39" t="inlineStr">
        <is>
          <t>待办</t>
        </is>
      </c>
    </row>
    <row r="92" ht="24" customHeight="1">
      <c r="A92" s="31" t="inlineStr">
        <is>
          <t>L2
模块</t>
        </is>
      </c>
      <c r="B92" s="28" t="inlineStr">
        <is>
          <t>C9</t>
        </is>
      </c>
      <c r="C92" s="47" t="inlineStr">
        <is>
          <t>P4</t>
        </is>
      </c>
      <c r="D92" s="30" t="inlineStr"/>
      <c r="E92" s="33" t="inlineStr">
        <is>
          <t>C9.出牌执行</t>
        </is>
      </c>
      <c r="F92" s="30" t="inlineStr"/>
      <c r="G92" s="30" t="inlineStr"/>
      <c r="H92" s="30" t="inlineStr"/>
      <c r="I92" s="30" t="inlineStr"/>
      <c r="J92" s="30" t="inlineStr"/>
      <c r="K92" s="30" t="inlineStr">
        <is>
          <t>V1</t>
        </is>
      </c>
      <c r="L92" s="30" t="inlineStr"/>
    </row>
    <row r="93" ht="56" customHeight="1">
      <c r="A93" s="34" t="inlineStr">
        <is>
          <t>L3
功能</t>
        </is>
      </c>
      <c r="B93" s="28" t="inlineStr">
        <is>
          <t>C9.01</t>
        </is>
      </c>
      <c r="C93" s="47" t="inlineStr">
        <is>
          <t>P4</t>
        </is>
      </c>
      <c r="D93" s="30" t="inlineStr"/>
      <c r="E93" s="30" t="inlineStr">
        <is>
          <t>C9.出牌执行</t>
        </is>
      </c>
      <c r="F93" s="35" t="inlineStr">
        <is>
          <t>出兵</t>
        </is>
      </c>
      <c r="G93" s="36" t="inlineStr">
        <is>
          <t>let card=Cards.get(cardId); if(!player.spendEnergy(card.cost)) return null; let spawnY=player.id===0?0:Constants.BOARD_LENGTH-1; let unit=Unit.fromCard(cardId,player.id,x,spawnY); player.units.push(unit); player.deck.playCard(handIndex); return unit</t>
        </is>
      </c>
      <c r="H93" s="37" t="inlineStr">
        <is>
          <t>BattleLogic.spawnUnit(player,cardId,x,model)</t>
        </is>
      </c>
      <c r="I93" s="7" t="inlineStr">
        <is>
          <t>js/game/BattleLogic.js</t>
        </is>
      </c>
      <c r="J93" s="7" t="inlineStr">
        <is>
          <t>player+cardId+x+model → Unit</t>
        </is>
      </c>
      <c r="K93" s="38" t="inlineStr">
        <is>
          <t>V1</t>
        </is>
      </c>
      <c r="L93" s="39" t="inlineStr">
        <is>
          <t>待办</t>
        </is>
      </c>
    </row>
    <row r="94" ht="56" customHeight="1">
      <c r="A94" s="34" t="inlineStr">
        <is>
          <t>L3
功能</t>
        </is>
      </c>
      <c r="B94" s="28" t="inlineStr">
        <is>
          <t>C9.02</t>
        </is>
      </c>
      <c r="C94" s="47" t="inlineStr">
        <is>
          <t>P4</t>
        </is>
      </c>
      <c r="D94" s="30" t="inlineStr"/>
      <c r="E94" s="30" t="inlineStr">
        <is>
          <t>C9.出牌执行</t>
        </is>
      </c>
      <c r="F94" s="35" t="inlineStr">
        <is>
          <t>施法</t>
        </is>
      </c>
      <c r="G94" s="36" t="inlineStr">
        <is>
          <t>let card=Cards.get(cardId); if(!player.spendEnergy(card.cost)) return; SpellSystem.cast(cardId,player.id,target,model); player.deck.playCard(handIndex)</t>
        </is>
      </c>
      <c r="H94" s="37" t="inlineStr">
        <is>
          <t>BattleLogic.castSpell(player,cardId,target,model)</t>
        </is>
      </c>
      <c r="I94" s="7" t="inlineStr">
        <is>
          <t>js/game/BattleLogic.js</t>
        </is>
      </c>
      <c r="J94" s="7" t="inlineStr">
        <is>
          <t>player+cardId+target+model → void</t>
        </is>
      </c>
      <c r="K94" s="38" t="inlineStr">
        <is>
          <t>V1</t>
        </is>
      </c>
      <c r="L94" s="39" t="inlineStr">
        <is>
          <t>待办</t>
        </is>
      </c>
    </row>
    <row r="95" ht="24" customHeight="1">
      <c r="A95" s="31" t="inlineStr">
        <is>
          <t>L2
模块</t>
        </is>
      </c>
      <c r="B95" s="28" t="inlineStr">
        <is>
          <t>C10</t>
        </is>
      </c>
      <c r="C95" s="47" t="inlineStr">
        <is>
          <t>P4</t>
        </is>
      </c>
      <c r="D95" s="30" t="inlineStr"/>
      <c r="E95" s="33" t="inlineStr">
        <is>
          <t>C10.胜负判定</t>
        </is>
      </c>
      <c r="F95" s="30" t="inlineStr"/>
      <c r="G95" s="30" t="inlineStr"/>
      <c r="H95" s="30" t="inlineStr"/>
      <c r="I95" s="30" t="inlineStr"/>
      <c r="J95" s="30" t="inlineStr"/>
      <c r="K95" s="30" t="inlineStr">
        <is>
          <t>V1</t>
        </is>
      </c>
      <c r="L95" s="30" t="inlineStr"/>
    </row>
    <row r="96" ht="56" customHeight="1">
      <c r="A96" s="34" t="inlineStr">
        <is>
          <t>L3
功能</t>
        </is>
      </c>
      <c r="B96" s="28" t="inlineStr">
        <is>
          <t>C10.01</t>
        </is>
      </c>
      <c r="C96" s="47" t="inlineStr">
        <is>
          <t>P4</t>
        </is>
      </c>
      <c r="D96" s="30" t="inlineStr"/>
      <c r="E96" s="30" t="inlineStr">
        <is>
          <t>C10.胜负判定</t>
        </is>
      </c>
      <c r="F96" s="35" t="inlineStr">
        <is>
          <t>大殿摧毁</t>
        </is>
      </c>
      <c r="G96" s="36" t="inlineStr">
        <is>
          <t>if(model.players[0].hallHp&lt;=0) return 1; if(model.players[1].hallHp&lt;=0) return 0; return null</t>
        </is>
      </c>
      <c r="H96" s="37" t="inlineStr">
        <is>
          <t>BattleChecker.checkHall(model)</t>
        </is>
      </c>
      <c r="I96" s="7" t="inlineStr">
        <is>
          <t>js/game/BattleChecker.js</t>
        </is>
      </c>
      <c r="J96" s="7" t="inlineStr">
        <is>
          <t>model → 0|1|null</t>
        </is>
      </c>
      <c r="K96" s="38" t="inlineStr">
        <is>
          <t>V1</t>
        </is>
      </c>
      <c r="L96" s="39" t="inlineStr">
        <is>
          <t>待办</t>
        </is>
      </c>
    </row>
    <row r="97" ht="56" customHeight="1">
      <c r="A97" s="34" t="inlineStr">
        <is>
          <t>L3
功能</t>
        </is>
      </c>
      <c r="B97" s="28" t="inlineStr">
        <is>
          <t>C10.02</t>
        </is>
      </c>
      <c r="C97" s="47" t="inlineStr">
        <is>
          <t>P4</t>
        </is>
      </c>
      <c r="D97" s="30" t="inlineStr"/>
      <c r="E97" s="30" t="inlineStr">
        <is>
          <t>C10.胜负判定</t>
        </is>
      </c>
      <c r="F97" s="35" t="inlineStr">
        <is>
          <t>时限检测</t>
        </is>
      </c>
      <c r="G97" s="36" t="inlineStr">
        <is>
          <t>if(model.time&gt;0) return null; if(model.players[0].hallHp!==model.players[1].hallHp) return model.players[0].hallHp&gt;model.players[1].hallHp?0:1; model.state="overtime"; model.time=60; return null</t>
        </is>
      </c>
      <c r="H97" s="37" t="inlineStr">
        <is>
          <t>BattleChecker.checkTime(model)</t>
        </is>
      </c>
      <c r="I97" s="7" t="inlineStr">
        <is>
          <t>js/game/BattleChecker.js</t>
        </is>
      </c>
      <c r="J97" s="7" t="inlineStr">
        <is>
          <t>model → 0|1|null</t>
        </is>
      </c>
      <c r="K97" s="38" t="inlineStr">
        <is>
          <t>V1</t>
        </is>
      </c>
      <c r="L97" s="39" t="inlineStr">
        <is>
          <t>待办</t>
        </is>
      </c>
    </row>
    <row r="98" ht="56" customHeight="1">
      <c r="A98" s="34" t="inlineStr">
        <is>
          <t>L3
功能</t>
        </is>
      </c>
      <c r="B98" s="28" t="inlineStr">
        <is>
          <t>C10.03</t>
        </is>
      </c>
      <c r="C98" s="47" t="inlineStr">
        <is>
          <t>P4</t>
        </is>
      </c>
      <c r="D98" s="30" t="inlineStr"/>
      <c r="E98" s="30" t="inlineStr">
        <is>
          <t>C10.胜负判定</t>
        </is>
      </c>
      <c r="F98" s="35" t="inlineStr">
        <is>
          <t>加时结算</t>
        </is>
      </c>
      <c r="G98" s="36" t="inlineStr">
        <is>
          <t>if(model.time&gt;0) return null; return model.players[0].energy&gt;model.players[1].energy?0:1</t>
        </is>
      </c>
      <c r="H98" s="37" t="inlineStr">
        <is>
          <t>BattleChecker.checkOvertime(model)</t>
        </is>
      </c>
      <c r="I98" s="7" t="inlineStr">
        <is>
          <t>js/game/BattleChecker.js</t>
        </is>
      </c>
      <c r="J98" s="7" t="inlineStr">
        <is>
          <t>model → 0|1</t>
        </is>
      </c>
      <c r="K98" s="38" t="inlineStr">
        <is>
          <t>V1</t>
        </is>
      </c>
      <c r="L98" s="39" t="inlineStr">
        <is>
          <t>待办</t>
        </is>
      </c>
    </row>
    <row r="99" ht="24" customHeight="1">
      <c r="A99" s="31" t="inlineStr">
        <is>
          <t>L2
模块</t>
        </is>
      </c>
      <c r="B99" s="28" t="inlineStr">
        <is>
          <t>C11</t>
        </is>
      </c>
      <c r="C99" s="47" t="inlineStr">
        <is>
          <t>P4</t>
        </is>
      </c>
      <c r="D99" s="30" t="inlineStr"/>
      <c r="E99" s="33" t="inlineStr">
        <is>
          <t>C11.死亡清理</t>
        </is>
      </c>
      <c r="F99" s="30" t="inlineStr"/>
      <c r="G99" s="30" t="inlineStr"/>
      <c r="H99" s="30" t="inlineStr"/>
      <c r="I99" s="30" t="inlineStr"/>
      <c r="J99" s="30" t="inlineStr"/>
      <c r="K99" s="30" t="inlineStr">
        <is>
          <t>V1</t>
        </is>
      </c>
      <c r="L99" s="30" t="inlineStr"/>
    </row>
    <row r="100" ht="56" customHeight="1">
      <c r="A100" s="34" t="inlineStr">
        <is>
          <t>L3
功能</t>
        </is>
      </c>
      <c r="B100" s="28" t="inlineStr">
        <is>
          <t>C11.01</t>
        </is>
      </c>
      <c r="C100" s="47" t="inlineStr">
        <is>
          <t>P4</t>
        </is>
      </c>
      <c r="D100" s="30" t="inlineStr"/>
      <c r="E100" s="30" t="inlineStr">
        <is>
          <t>C11.死亡清理</t>
        </is>
      </c>
      <c r="F100" s="35" t="inlineStr">
        <is>
          <t>清理死亡单位</t>
        </is>
      </c>
      <c r="G100" s="36" t="inlineStr">
        <is>
          <t>for(let p of model.players){ p.units=p.units.filter(u=&gt;{ if(u.state==="dead"){ if(u.traits.includes("kamikaze")) CombatSystem.kamikaze(u,model); return false } return true }) }</t>
        </is>
      </c>
      <c r="H100" s="37" t="inlineStr">
        <is>
          <t>BattleLogic.removeDead(model)</t>
        </is>
      </c>
      <c r="I100" s="7" t="inlineStr">
        <is>
          <t>js/game/BattleLogic.js</t>
        </is>
      </c>
      <c r="J100" s="7" t="inlineStr">
        <is>
          <t>model → void</t>
        </is>
      </c>
      <c r="K100" s="38" t="inlineStr">
        <is>
          <t>V1</t>
        </is>
      </c>
      <c r="L100" s="39" t="inlineStr">
        <is>
          <t>待办</t>
        </is>
      </c>
    </row>
    <row r="101" ht="56" customHeight="1">
      <c r="A101" s="34" t="inlineStr">
        <is>
          <t>L3
功能</t>
        </is>
      </c>
      <c r="B101" s="28" t="inlineStr">
        <is>
          <t>C11.02</t>
        </is>
      </c>
      <c r="C101" s="47" t="inlineStr">
        <is>
          <t>P4</t>
        </is>
      </c>
      <c r="D101" s="30" t="inlineStr"/>
      <c r="E101" s="30" t="inlineStr">
        <is>
          <t>C11.死亡清理</t>
        </is>
      </c>
      <c r="F101" s="35" t="inlineStr">
        <is>
          <t>清理被毁阵法</t>
        </is>
      </c>
      <c r="G101" s="36" t="inlineStr">
        <is>
          <t>for(let p of model.players){ p.formations=p.formations.filter(f=&gt;{ if(f.hp&lt;=0){ let key=f.gridX+","+f.gridY; p.formationCooldowns[key]=model.elapsedTime+8; return false } return true }) }</t>
        </is>
      </c>
      <c r="H101" s="37" t="inlineStr">
        <is>
          <t>BattleLogic.removeDeadFormations(model)</t>
        </is>
      </c>
      <c r="I101" s="7" t="inlineStr">
        <is>
          <t>js/game/BattleLogic.js</t>
        </is>
      </c>
      <c r="J101" s="7" t="inlineStr">
        <is>
          <t>model → void</t>
        </is>
      </c>
      <c r="K101" s="38" t="inlineStr">
        <is>
          <t>V1</t>
        </is>
      </c>
      <c r="L101" s="39" t="inlineStr">
        <is>
          <t>待办</t>
        </is>
      </c>
    </row>
    <row r="102" ht="32" customHeight="1">
      <c r="A102" s="48" t="inlineStr">
        <is>
          <t>L1
系统</t>
        </is>
      </c>
      <c r="B102" s="28" t="inlineStr"/>
      <c r="C102" s="9" t="inlineStr"/>
      <c r="D102" s="49" t="inlineStr">
        <is>
          <t>D.AI系统</t>
        </is>
      </c>
      <c r="E102" s="30" t="inlineStr"/>
      <c r="F102" s="30" t="inlineStr"/>
      <c r="G102" s="30" t="inlineStr"/>
      <c r="H102" s="30" t="inlineStr"/>
      <c r="I102" s="30" t="inlineStr"/>
      <c r="J102" s="30" t="inlineStr"/>
      <c r="K102" s="30" t="inlineStr"/>
      <c r="L102" s="30" t="inlineStr"/>
    </row>
    <row r="103" ht="24" customHeight="1">
      <c r="A103" s="31" t="inlineStr">
        <is>
          <t>L2
模块</t>
        </is>
      </c>
      <c r="B103" s="28" t="inlineStr">
        <is>
          <t>D1</t>
        </is>
      </c>
      <c r="C103" s="50" t="inlineStr">
        <is>
          <t>P5</t>
        </is>
      </c>
      <c r="D103" s="30" t="inlineStr"/>
      <c r="E103" s="33" t="inlineStr">
        <is>
          <t>D1.AI决策</t>
        </is>
      </c>
      <c r="F103" s="30" t="inlineStr"/>
      <c r="G103" s="30" t="inlineStr"/>
      <c r="H103" s="30" t="inlineStr"/>
      <c r="I103" s="30" t="inlineStr"/>
      <c r="J103" s="30" t="inlineStr"/>
      <c r="K103" s="30" t="inlineStr">
        <is>
          <t>V1</t>
        </is>
      </c>
      <c r="L103" s="30" t="inlineStr"/>
    </row>
    <row r="104" ht="56" customHeight="1">
      <c r="A104" s="34" t="inlineStr">
        <is>
          <t>L3
功能</t>
        </is>
      </c>
      <c r="B104" s="28" t="inlineStr">
        <is>
          <t>D1.01</t>
        </is>
      </c>
      <c r="C104" s="50" t="inlineStr">
        <is>
          <t>P5</t>
        </is>
      </c>
      <c r="D104" s="30" t="inlineStr"/>
      <c r="E104" s="30" t="inlineStr">
        <is>
          <t>D1.AI决策</t>
        </is>
      </c>
      <c r="F104" s="35" t="inlineStr">
        <is>
          <t>AI主循环</t>
        </is>
      </c>
      <c r="G104" s="36" t="inlineStr">
        <is>
          <t>this.thinkTimer+=dt; if(this.thinkTimer&gt;=this.thinkInterval){ this.thinkTimer=0; this.think(model) }</t>
        </is>
      </c>
      <c r="H104" s="37" t="inlineStr">
        <is>
          <t>AI.update(dt,model)</t>
        </is>
      </c>
      <c r="I104" s="7" t="inlineStr">
        <is>
          <t>js/game/AI.js</t>
        </is>
      </c>
      <c r="J104" s="7" t="inlineStr">
        <is>
          <t>dt+model → void</t>
        </is>
      </c>
      <c r="K104" s="38" t="inlineStr">
        <is>
          <t>V1</t>
        </is>
      </c>
      <c r="L104" s="39" t="inlineStr">
        <is>
          <t>待办</t>
        </is>
      </c>
    </row>
    <row r="105" ht="56" customHeight="1">
      <c r="A105" s="34" t="inlineStr">
        <is>
          <t>L3
功能</t>
        </is>
      </c>
      <c r="B105" s="28" t="inlineStr">
        <is>
          <t>D1.02</t>
        </is>
      </c>
      <c r="C105" s="50" t="inlineStr">
        <is>
          <t>P5</t>
        </is>
      </c>
      <c r="D105" s="30" t="inlineStr"/>
      <c r="E105" s="30" t="inlineStr">
        <is>
          <t>D1.AI决策</t>
        </is>
      </c>
      <c r="F105" s="46" t="inlineStr">
        <is>
          <t>★决策核心★</t>
        </is>
      </c>
      <c r="G105" s="36" t="inlineStr">
        <is>
          <t>let player=model.players[this.playerId]; let ratio=this.decideAttackRatio(model); let cardIdx=this.pickCard(player.energy,ratio,player.deck.hand); if(cardIdx===null) return; let cardId=player.deck.hand[cardIdx]; let card=Cards.get(cardId); if(card.type==="unit") BattleLogic.spawnUnit(player,cardId,0,model); else if(card.type==="formation"){ let pos=this.pickFormationPos(model); BattleLogic.placeFormation(player,cardId,pos.gx,pos.gy,model) } else BattleLogic.castSpell(player,cardId,null,model)</t>
        </is>
      </c>
      <c r="H105" s="37" t="inlineStr">
        <is>
          <t>AI.think(model)</t>
        </is>
      </c>
      <c r="I105" s="7" t="inlineStr">
        <is>
          <t>js/game/AI.js</t>
        </is>
      </c>
      <c r="J105" s="7" t="inlineStr">
        <is>
          <t>model → void</t>
        </is>
      </c>
      <c r="K105" s="38" t="inlineStr">
        <is>
          <t>V1</t>
        </is>
      </c>
      <c r="L105" s="39" t="inlineStr">
        <is>
          <t>待办</t>
        </is>
      </c>
    </row>
    <row r="106" ht="56" customHeight="1">
      <c r="A106" s="34" t="inlineStr">
        <is>
          <t>L3
功能</t>
        </is>
      </c>
      <c r="B106" s="28" t="inlineStr">
        <is>
          <t>D1.03</t>
        </is>
      </c>
      <c r="C106" s="50" t="inlineStr">
        <is>
          <t>P5</t>
        </is>
      </c>
      <c r="D106" s="30" t="inlineStr"/>
      <c r="E106" s="30" t="inlineStr">
        <is>
          <t>D1.AI决策</t>
        </is>
      </c>
      <c r="F106" s="35" t="inlineStr">
        <is>
          <t>攻守比计算</t>
        </is>
      </c>
      <c r="G106" s="36" t="inlineStr">
        <is>
          <t>let hp=model.players[this.playerId].hallHp; let maxHp=Constants.HALL_HP; let pct=hp/maxHp; if(pct&gt;0.6) return 0.7; if(pct&lt;0.3) return 0.2; return 0.4</t>
        </is>
      </c>
      <c r="H106" s="37" t="inlineStr">
        <is>
          <t>AI.decideAttackRatio(model)</t>
        </is>
      </c>
      <c r="I106" s="7" t="inlineStr">
        <is>
          <t>js/game/AI.js</t>
        </is>
      </c>
      <c r="J106" s="7" t="inlineStr">
        <is>
          <t>model → number(0~1)</t>
        </is>
      </c>
      <c r="K106" s="38" t="inlineStr">
        <is>
          <t>V1</t>
        </is>
      </c>
      <c r="L106" s="39" t="inlineStr">
        <is>
          <t>待办</t>
        </is>
      </c>
    </row>
    <row r="107" ht="56" customHeight="1">
      <c r="A107" s="34" t="inlineStr">
        <is>
          <t>L3
功能</t>
        </is>
      </c>
      <c r="B107" s="28" t="inlineStr">
        <is>
          <t>D1.04</t>
        </is>
      </c>
      <c r="C107" s="50" t="inlineStr">
        <is>
          <t>P5</t>
        </is>
      </c>
      <c r="D107" s="30" t="inlineStr"/>
      <c r="E107" s="30" t="inlineStr">
        <is>
          <t>D1.AI决策</t>
        </is>
      </c>
      <c r="F107" s="35" t="inlineStr">
        <is>
          <t>选牌逻辑</t>
        </is>
      </c>
      <c r="G107" s="36" t="inlineStr">
        <is>
          <t>let playable=hand.map((id,idx)=&gt;({id,idx,card:Cards.get(id)})).filter(h=&gt;h.card.cost&lt;=energy); if(playable.length===0) return null; if(ratio&gt;0.5) playable.sort((a,b)=&gt;(b.card.type==="unit")-(a.card.type==="unit")); else playable.sort((a,b)=&gt;(b.card.type==="formation")-(a.card.type==="formation")); return playable[0].idx</t>
        </is>
      </c>
      <c r="H107" s="37" t="inlineStr">
        <is>
          <t>AI.pickCard(energy,ratio,hand)</t>
        </is>
      </c>
      <c r="I107" s="7" t="inlineStr">
        <is>
          <t>js/game/AI.js</t>
        </is>
      </c>
      <c r="J107" s="7" t="inlineStr">
        <is>
          <t>energy+ratio+hand → int|null</t>
        </is>
      </c>
      <c r="K107" s="38" t="inlineStr">
        <is>
          <t>V1</t>
        </is>
      </c>
      <c r="L107" s="39" t="inlineStr">
        <is>
          <t>待办</t>
        </is>
      </c>
    </row>
    <row r="108" ht="56" customHeight="1">
      <c r="A108" s="34" t="inlineStr">
        <is>
          <t>L3
功能</t>
        </is>
      </c>
      <c r="B108" s="28" t="inlineStr">
        <is>
          <t>D1.05</t>
        </is>
      </c>
      <c r="C108" s="50" t="inlineStr">
        <is>
          <t>P5</t>
        </is>
      </c>
      <c r="D108" s="30" t="inlineStr"/>
      <c r="E108" s="30" t="inlineStr">
        <is>
          <t>D1.AI决策</t>
        </is>
      </c>
      <c r="F108" s="35" t="inlineStr">
        <is>
          <t>布阵位置</t>
        </is>
      </c>
      <c r="G108" s="36" t="inlineStr">
        <is>
          <t>if(this.difficulty==="easy") return {gx:Math.random()&lt;0.5?-1:1, gy:1+Math.floor(Math.random()*7)}; if(this.difficulty==="normal") return {gx:Math.random()&lt;0.5?-1:1, gy:Constants.BOARD_LENGTH-3+Math.floor(Math.random()*2)}; //hard: 找最快敌方单位前方布 let fastest=model.players[0].units.sort((a,b)=&gt;b.y-a.y)[0]; return {gx:Math.random()&lt;0.5?-1:1, gy:Math.max(1,fastest.y+1)}</t>
        </is>
      </c>
      <c r="H108" s="37" t="inlineStr">
        <is>
          <t>AI.pickFormationPos(model)</t>
        </is>
      </c>
      <c r="I108" s="7" t="inlineStr">
        <is>
          <t>js/game/AI.js</t>
        </is>
      </c>
      <c r="J108" s="7" t="inlineStr">
        <is>
          <t>model → {gx,gy}</t>
        </is>
      </c>
      <c r="K108" s="38" t="inlineStr">
        <is>
          <t>V1</t>
        </is>
      </c>
      <c r="L108" s="39" t="inlineStr">
        <is>
          <t>待办</t>
        </is>
      </c>
    </row>
    <row r="109" ht="32" customHeight="1">
      <c r="A109" s="24" t="inlineStr">
        <is>
          <t>L1
系统</t>
        </is>
      </c>
      <c r="B109" s="28" t="inlineStr"/>
      <c r="C109" s="9" t="inlineStr"/>
      <c r="D109" s="51" t="inlineStr">
        <is>
          <t>E.渲染与UI</t>
        </is>
      </c>
      <c r="E109" s="30" t="inlineStr"/>
      <c r="F109" s="30" t="inlineStr"/>
      <c r="G109" s="30" t="inlineStr"/>
      <c r="H109" s="30" t="inlineStr"/>
      <c r="I109" s="30" t="inlineStr"/>
      <c r="J109" s="30" t="inlineStr"/>
      <c r="K109" s="30" t="inlineStr"/>
      <c r="L109" s="30" t="inlineStr"/>
    </row>
    <row r="110" ht="24" customHeight="1">
      <c r="A110" s="31" t="inlineStr">
        <is>
          <t>L2
模块</t>
        </is>
      </c>
      <c r="B110" s="28" t="inlineStr">
        <is>
          <t>E1</t>
        </is>
      </c>
      <c r="C110" s="40" t="inlineStr">
        <is>
          <t>P6</t>
        </is>
      </c>
      <c r="D110" s="30" t="inlineStr"/>
      <c r="E110" s="33" t="inlineStr">
        <is>
          <t>E1.战斗场景</t>
        </is>
      </c>
      <c r="F110" s="30" t="inlineStr"/>
      <c r="G110" s="30" t="inlineStr"/>
      <c r="H110" s="30" t="inlineStr"/>
      <c r="I110" s="30" t="inlineStr"/>
      <c r="J110" s="30" t="inlineStr"/>
      <c r="K110" s="30" t="inlineStr">
        <is>
          <t>V1</t>
        </is>
      </c>
      <c r="L110" s="30" t="inlineStr"/>
    </row>
    <row r="111" ht="56" customHeight="1">
      <c r="A111" s="34" t="inlineStr">
        <is>
          <t>L3
功能</t>
        </is>
      </c>
      <c r="B111" s="28" t="inlineStr">
        <is>
          <t>E1.01</t>
        </is>
      </c>
      <c r="C111" s="40" t="inlineStr">
        <is>
          <t>P6</t>
        </is>
      </c>
      <c r="D111" s="30" t="inlineStr"/>
      <c r="E111" s="30" t="inlineStr">
        <is>
          <t>E1.战斗场景</t>
        </is>
      </c>
      <c r="F111" s="35" t="inlineStr">
        <is>
          <t>场景进入</t>
        </is>
      </c>
      <c r="G111" s="36" t="inlineStr">
        <is>
          <t>this.model=GameModel.init(deck0,deck1); this.battleLogic=new BattleLogic(this.model); this.registerInput(); ResourceLoader.load(...)</t>
        </is>
      </c>
      <c r="H111" s="37" t="inlineStr">
        <is>
          <t>BattleScene.onEnter()</t>
        </is>
      </c>
      <c r="I111" s="7" t="inlineStr">
        <is>
          <t>js/scenes/BattleScene.js</t>
        </is>
      </c>
      <c r="J111" s="7" t="inlineStr">
        <is>
          <t>void → void</t>
        </is>
      </c>
      <c r="K111" s="38" t="inlineStr">
        <is>
          <t>V1</t>
        </is>
      </c>
      <c r="L111" s="39" t="inlineStr">
        <is>
          <t>待办</t>
        </is>
      </c>
    </row>
    <row r="112" ht="56" customHeight="1">
      <c r="A112" s="34" t="inlineStr">
        <is>
          <t>L3
功能</t>
        </is>
      </c>
      <c r="B112" s="28" t="inlineStr">
        <is>
          <t>E1.02</t>
        </is>
      </c>
      <c r="C112" s="40" t="inlineStr">
        <is>
          <t>P6</t>
        </is>
      </c>
      <c r="D112" s="30" t="inlineStr"/>
      <c r="E112" s="30" t="inlineStr">
        <is>
          <t>E1.战斗场景</t>
        </is>
      </c>
      <c r="F112" s="35" t="inlineStr">
        <is>
          <t>场景更新</t>
        </is>
      </c>
      <c r="G112" s="36" t="inlineStr">
        <is>
          <t>this.battleLogic.update(dt)</t>
        </is>
      </c>
      <c r="H112" s="37" t="inlineStr">
        <is>
          <t>BattleScene.onUpdate(dt)</t>
        </is>
      </c>
      <c r="I112" s="7" t="inlineStr">
        <is>
          <t>js/scenes/BattleScene.js</t>
        </is>
      </c>
      <c r="J112" s="7" t="inlineStr">
        <is>
          <t>dt → void</t>
        </is>
      </c>
      <c r="K112" s="38" t="inlineStr">
        <is>
          <t>V1</t>
        </is>
      </c>
      <c r="L112" s="39" t="inlineStr">
        <is>
          <t>待办</t>
        </is>
      </c>
    </row>
    <row r="113" ht="56" customHeight="1">
      <c r="A113" s="34" t="inlineStr">
        <is>
          <t>L3
功能</t>
        </is>
      </c>
      <c r="B113" s="28" t="inlineStr">
        <is>
          <t>E1.03</t>
        </is>
      </c>
      <c r="C113" s="40" t="inlineStr">
        <is>
          <t>P6</t>
        </is>
      </c>
      <c r="D113" s="30" t="inlineStr"/>
      <c r="E113" s="30" t="inlineStr">
        <is>
          <t>E1.战斗场景</t>
        </is>
      </c>
      <c r="F113" s="35" t="inlineStr">
        <is>
          <t>场景渲染(分层)</t>
        </is>
      </c>
      <c r="G113" s="36" t="inlineStr">
        <is>
          <t>this.renderBackground(ctx); this.renderHalls(ctx); this.renderFormations(ctx); this.renderUnits(ctx); this.particleSystem.render(ctx); this.renderUI(ctx)</t>
        </is>
      </c>
      <c r="H113" s="37" t="inlineStr">
        <is>
          <t>BattleScene.onRender(ctx)</t>
        </is>
      </c>
      <c r="I113" s="7" t="inlineStr">
        <is>
          <t>js/scenes/BattleScene.js</t>
        </is>
      </c>
      <c r="J113" s="7" t="inlineStr">
        <is>
          <t>ctx → void</t>
        </is>
      </c>
      <c r="K113" s="38" t="inlineStr">
        <is>
          <t>V1</t>
        </is>
      </c>
      <c r="L113" s="39" t="inlineStr">
        <is>
          <t>待办</t>
        </is>
      </c>
    </row>
    <row r="114" ht="56" customHeight="1">
      <c r="A114" s="34" t="inlineStr">
        <is>
          <t>L3
功能</t>
        </is>
      </c>
      <c r="B114" s="28" t="inlineStr">
        <is>
          <t>E1.04</t>
        </is>
      </c>
      <c r="C114" s="40" t="inlineStr">
        <is>
          <t>P6</t>
        </is>
      </c>
      <c r="D114" s="30" t="inlineStr"/>
      <c r="E114" s="30" t="inlineStr">
        <is>
          <t>E1.战斗场景</t>
        </is>
      </c>
      <c r="F114" s="35" t="inlineStr">
        <is>
          <t>场景退出</t>
        </is>
      </c>
      <c r="G114" s="36" t="inlineStr">
        <is>
          <t>input.clear(); this.model=null; this.battleLogic=null</t>
        </is>
      </c>
      <c r="H114" s="37" t="inlineStr">
        <is>
          <t>BattleScene.onExit()</t>
        </is>
      </c>
      <c r="I114" s="7" t="inlineStr">
        <is>
          <t>js/scenes/BattleScene.js</t>
        </is>
      </c>
      <c r="J114" s="7" t="inlineStr">
        <is>
          <t>void → void</t>
        </is>
      </c>
      <c r="K114" s="38" t="inlineStr">
        <is>
          <t>V1</t>
        </is>
      </c>
      <c r="L114" s="39" t="inlineStr">
        <is>
          <t>待办</t>
        </is>
      </c>
    </row>
    <row r="115" ht="24" customHeight="1">
      <c r="A115" s="31" t="inlineStr">
        <is>
          <t>L2
模块</t>
        </is>
      </c>
      <c r="B115" s="28" t="inlineStr">
        <is>
          <t>E2</t>
        </is>
      </c>
      <c r="C115" s="40" t="inlineStr">
        <is>
          <t>P6</t>
        </is>
      </c>
      <c r="D115" s="30" t="inlineStr"/>
      <c r="E115" s="33" t="inlineStr">
        <is>
          <t>E2.背景渲染</t>
        </is>
      </c>
      <c r="F115" s="30" t="inlineStr"/>
      <c r="G115" s="30" t="inlineStr"/>
      <c r="H115" s="30" t="inlineStr"/>
      <c r="I115" s="30" t="inlineStr"/>
      <c r="J115" s="30" t="inlineStr"/>
      <c r="K115" s="30" t="inlineStr">
        <is>
          <t>V1</t>
        </is>
      </c>
      <c r="L115" s="30" t="inlineStr"/>
    </row>
    <row r="116" ht="56" customHeight="1">
      <c r="A116" s="34" t="inlineStr">
        <is>
          <t>L3
功能</t>
        </is>
      </c>
      <c r="B116" s="28" t="inlineStr">
        <is>
          <t>E2.01</t>
        </is>
      </c>
      <c r="C116" s="40" t="inlineStr">
        <is>
          <t>P6</t>
        </is>
      </c>
      <c r="D116" s="30" t="inlineStr"/>
      <c r="E116" s="30" t="inlineStr">
        <is>
          <t>E2.背景渲染</t>
        </is>
      </c>
      <c r="F116" s="35" t="inlineStr">
        <is>
          <t>山道背景</t>
        </is>
      </c>
      <c r="G116" s="36" t="inlineStr">
        <is>
          <t>V1: let grad=ctx.createLinearGradient(0,0,0,H); grad.addColorStop(0,"#1a3a2a"); grad.addColorStop(1,"#2d5a3d"); ctx.fillStyle=grad; ctx.fillRect(0,0,W,H)</t>
        </is>
      </c>
      <c r="H116" s="37" t="inlineStr">
        <is>
          <t>BattleScene.renderBackground(ctx)</t>
        </is>
      </c>
      <c r="I116" s="7" t="inlineStr">
        <is>
          <t>js/scenes/BattleScene.js</t>
        </is>
      </c>
      <c r="J116" s="7" t="inlineStr">
        <is>
          <t>ctx → void</t>
        </is>
      </c>
      <c r="K116" s="38" t="inlineStr">
        <is>
          <t>V1</t>
        </is>
      </c>
      <c r="L116" s="39" t="inlineStr">
        <is>
          <t>待办</t>
        </is>
      </c>
    </row>
    <row r="117" ht="56" customHeight="1">
      <c r="A117" s="34" t="inlineStr">
        <is>
          <t>L3
功能</t>
        </is>
      </c>
      <c r="B117" s="28" t="inlineStr">
        <is>
          <t>E2.02</t>
        </is>
      </c>
      <c r="C117" s="40" t="inlineStr">
        <is>
          <t>P6</t>
        </is>
      </c>
      <c r="D117" s="30" t="inlineStr"/>
      <c r="E117" s="30" t="inlineStr">
        <is>
          <t>E2.背景渲染</t>
        </is>
      </c>
      <c r="F117" s="35" t="inlineStr">
        <is>
          <t>棋盘格子线</t>
        </is>
      </c>
      <c r="G117" s="36" t="inlineStr">
        <is>
          <t>let cellW=W/3; for(let i=0;i&lt;=BOARD_LENGTH;i++){ let y=i*cellH; ctx.strokeStyle="rgba(255,255,255,0.1)"; ctx.beginPath(); ctx.moveTo(0,y); ctx.lineTo(W,y); ctx.stroke() }</t>
        </is>
      </c>
      <c r="H117" s="37" t="inlineStr">
        <is>
          <t>BattleScene.renderGrid(ctx)</t>
        </is>
      </c>
      <c r="I117" s="7" t="inlineStr">
        <is>
          <t>js/scenes/BattleScene.js</t>
        </is>
      </c>
      <c r="J117" s="7" t="inlineStr">
        <is>
          <t>ctx → void</t>
        </is>
      </c>
      <c r="K117" s="38" t="inlineStr">
        <is>
          <t>V1</t>
        </is>
      </c>
      <c r="L117" s="39" t="inlineStr">
        <is>
          <t>待办</t>
        </is>
      </c>
    </row>
    <row r="118" ht="24" customHeight="1">
      <c r="A118" s="31" t="inlineStr">
        <is>
          <t>L2
模块</t>
        </is>
      </c>
      <c r="B118" s="28" t="inlineStr">
        <is>
          <t>E3</t>
        </is>
      </c>
      <c r="C118" s="40" t="inlineStr">
        <is>
          <t>P6</t>
        </is>
      </c>
      <c r="D118" s="30" t="inlineStr"/>
      <c r="E118" s="33" t="inlineStr">
        <is>
          <t>E3.大殿渲染</t>
        </is>
      </c>
      <c r="F118" s="30" t="inlineStr"/>
      <c r="G118" s="30" t="inlineStr"/>
      <c r="H118" s="30" t="inlineStr"/>
      <c r="I118" s="30" t="inlineStr"/>
      <c r="J118" s="30" t="inlineStr"/>
      <c r="K118" s="30" t="inlineStr">
        <is>
          <t>V1</t>
        </is>
      </c>
      <c r="L118" s="30" t="inlineStr"/>
    </row>
    <row r="119" ht="56" customHeight="1">
      <c r="A119" s="34" t="inlineStr">
        <is>
          <t>L3
功能</t>
        </is>
      </c>
      <c r="B119" s="28" t="inlineStr">
        <is>
          <t>E3.01</t>
        </is>
      </c>
      <c r="C119" s="40" t="inlineStr">
        <is>
          <t>P6</t>
        </is>
      </c>
      <c r="D119" s="30" t="inlineStr"/>
      <c r="E119" s="30" t="inlineStr">
        <is>
          <t>E3.大殿渲染</t>
        </is>
      </c>
      <c r="F119" s="35" t="inlineStr">
        <is>
          <t>大殿色块</t>
        </is>
      </c>
      <c r="G119" s="36" t="inlineStr">
        <is>
          <t>Renderer.rect(ctx,0,0,W,60,"#F39C12"); //顶部 Renderer.rect(ctx,0,H-60,W,60,"#F39C12"); //底部 Renderer.text(ctx,"敌方宗门",W/2,30,"#FFF",16); Renderer.text(ctx,"我方宗门",W/2,H-30,"#FFF",16)</t>
        </is>
      </c>
      <c r="H119" s="37" t="inlineStr">
        <is>
          <t>BattleScene.renderHalls(ctx)</t>
        </is>
      </c>
      <c r="I119" s="7" t="inlineStr">
        <is>
          <t>js/scenes/BattleScene.js</t>
        </is>
      </c>
      <c r="J119" s="7" t="inlineStr">
        <is>
          <t>ctx → void</t>
        </is>
      </c>
      <c r="K119" s="38" t="inlineStr">
        <is>
          <t>V1</t>
        </is>
      </c>
      <c r="L119" s="39" t="inlineStr">
        <is>
          <t>待办</t>
        </is>
      </c>
    </row>
    <row r="120" ht="56" customHeight="1">
      <c r="A120" s="34" t="inlineStr">
        <is>
          <t>L3
功能</t>
        </is>
      </c>
      <c r="B120" s="28" t="inlineStr">
        <is>
          <t>E3.02</t>
        </is>
      </c>
      <c r="C120" s="40" t="inlineStr">
        <is>
          <t>P6</t>
        </is>
      </c>
      <c r="D120" s="30" t="inlineStr"/>
      <c r="E120" s="30" t="inlineStr">
        <is>
          <t>E3.大殿渲染</t>
        </is>
      </c>
      <c r="F120" s="35" t="inlineStr">
        <is>
          <t>大殿血条</t>
        </is>
      </c>
      <c r="G120" s="36" t="inlineStr">
        <is>
          <t>let p0=model.players[0]; Renderer.healthBar(ctx,0,H-70,W,8,p0.hallHp/p0.hallMaxHp); let p1=model.players[1]; Renderer.healthBar(ctx,0,62,W,8,p1.hallHp/p1.hallMaxHp)</t>
        </is>
      </c>
      <c r="H120" s="37" t="inlineStr">
        <is>
          <t>BattleScene.renderHallHp(ctx)</t>
        </is>
      </c>
      <c r="I120" s="7" t="inlineStr">
        <is>
          <t>js/scenes/BattleScene.js</t>
        </is>
      </c>
      <c r="J120" s="7" t="inlineStr">
        <is>
          <t>ctx → void</t>
        </is>
      </c>
      <c r="K120" s="38" t="inlineStr">
        <is>
          <t>V1</t>
        </is>
      </c>
      <c r="L120" s="39" t="inlineStr">
        <is>
          <t>待办</t>
        </is>
      </c>
    </row>
    <row r="121" ht="56" customHeight="1">
      <c r="A121" s="34" t="inlineStr">
        <is>
          <t>L3
功能</t>
        </is>
      </c>
      <c r="B121" s="28" t="inlineStr">
        <is>
          <t>E3.03</t>
        </is>
      </c>
      <c r="C121" s="40" t="inlineStr">
        <is>
          <t>P6</t>
        </is>
      </c>
      <c r="D121" s="30" t="inlineStr"/>
      <c r="E121" s="30" t="inlineStr">
        <is>
          <t>E3.大殿渲染</t>
        </is>
      </c>
      <c r="F121" s="35" t="inlineStr">
        <is>
          <t>受击特效</t>
        </is>
      </c>
      <c r="G121" s="36" t="inlineStr">
        <is>
          <t>if(this.shakeTimer&gt;0){ this.shakeTimer-=dt; ctx.translate((Math.random()-0.5)*6,(Math.random()-0.5)*6) }</t>
        </is>
      </c>
      <c r="H121" s="37" t="inlineStr">
        <is>
          <t>BattleScene.renderHallHit(ctx,dt)</t>
        </is>
      </c>
      <c r="I121" s="7" t="inlineStr">
        <is>
          <t>js/scenes/BattleScene.js</t>
        </is>
      </c>
      <c r="J121" s="7" t="inlineStr">
        <is>
          <t>ctx+dt → void</t>
        </is>
      </c>
      <c r="K121" s="38" t="inlineStr">
        <is>
          <t>V1</t>
        </is>
      </c>
      <c r="L121" s="39" t="inlineStr">
        <is>
          <t>待办</t>
        </is>
      </c>
    </row>
    <row r="122" ht="24" customHeight="1">
      <c r="A122" s="31" t="inlineStr">
        <is>
          <t>L2
模块</t>
        </is>
      </c>
      <c r="B122" s="28" t="inlineStr">
        <is>
          <t>E4</t>
        </is>
      </c>
      <c r="C122" s="40" t="inlineStr">
        <is>
          <t>P6</t>
        </is>
      </c>
      <c r="D122" s="30" t="inlineStr"/>
      <c r="E122" s="33" t="inlineStr">
        <is>
          <t>E4.单位渲染</t>
        </is>
      </c>
      <c r="F122" s="30" t="inlineStr"/>
      <c r="G122" s="30" t="inlineStr"/>
      <c r="H122" s="30" t="inlineStr"/>
      <c r="I122" s="30" t="inlineStr"/>
      <c r="J122" s="30" t="inlineStr"/>
      <c r="K122" s="30" t="inlineStr">
        <is>
          <t>V1</t>
        </is>
      </c>
      <c r="L122" s="30" t="inlineStr"/>
    </row>
    <row r="123" ht="56" customHeight="1">
      <c r="A123" s="34" t="inlineStr">
        <is>
          <t>L3
功能</t>
        </is>
      </c>
      <c r="B123" s="28" t="inlineStr">
        <is>
          <t>E4.01</t>
        </is>
      </c>
      <c r="C123" s="40" t="inlineStr">
        <is>
          <t>P6</t>
        </is>
      </c>
      <c r="D123" s="30" t="inlineStr"/>
      <c r="E123" s="30" t="inlineStr">
        <is>
          <t>E4.单位渲染</t>
        </is>
      </c>
      <c r="F123" s="35" t="inlineStr">
        <is>
          <t>单位色块+y排序</t>
        </is>
      </c>
      <c r="G123" s="36" t="inlineStr">
        <is>
          <t>let all=model.getAllUnits(); all.sort((a,b)=&gt;a.y-b.y); for(let u of all){ let color=u.owner===0?"#E74C3C":"#3498DB"; Renderer.rect(ctx,u.px-u.w/2,u.py-u.h/2,u.w,u.h,color); Renderer.text(ctx,Cards.get(u.cardId).name[0],u.px,u.py,"#FFF",10) }</t>
        </is>
      </c>
      <c r="H123" s="37" t="inlineStr">
        <is>
          <t>BattleScene.renderUnits(ctx)</t>
        </is>
      </c>
      <c r="I123" s="7" t="inlineStr">
        <is>
          <t>js/scenes/BattleScene.js</t>
        </is>
      </c>
      <c r="J123" s="7" t="inlineStr">
        <is>
          <t>ctx → void</t>
        </is>
      </c>
      <c r="K123" s="38" t="inlineStr">
        <is>
          <t>V1</t>
        </is>
      </c>
      <c r="L123" s="39" t="inlineStr">
        <is>
          <t>待办</t>
        </is>
      </c>
    </row>
    <row r="124" ht="56" customHeight="1">
      <c r="A124" s="34" t="inlineStr">
        <is>
          <t>L3
功能</t>
        </is>
      </c>
      <c r="B124" s="28" t="inlineStr">
        <is>
          <t>E4.02</t>
        </is>
      </c>
      <c r="C124" s="40" t="inlineStr">
        <is>
          <t>P6</t>
        </is>
      </c>
      <c r="D124" s="30" t="inlineStr"/>
      <c r="E124" s="30" t="inlineStr">
        <is>
          <t>E4.单位渲染</t>
        </is>
      </c>
      <c r="F124" s="35" t="inlineStr">
        <is>
          <t>单位血条</t>
        </is>
      </c>
      <c r="G124" s="36" t="inlineStr">
        <is>
          <t>for(let u of all){ Renderer.healthBar(ctx,u.px-u.w/2,u.py-u.h/2-6,u.w,4,u.hp/u.maxHp) }</t>
        </is>
      </c>
      <c r="H124" s="37" t="inlineStr">
        <is>
          <t>BattleScene.renderUnitHp(ctx)</t>
        </is>
      </c>
      <c r="I124" s="7" t="inlineStr">
        <is>
          <t>js/scenes/BattleScene.js</t>
        </is>
      </c>
      <c r="J124" s="7" t="inlineStr">
        <is>
          <t>ctx → void</t>
        </is>
      </c>
      <c r="K124" s="38" t="inlineStr">
        <is>
          <t>V1</t>
        </is>
      </c>
      <c r="L124" s="39" t="inlineStr">
        <is>
          <t>待办</t>
        </is>
      </c>
    </row>
    <row r="125" ht="24" customHeight="1">
      <c r="A125" s="31" t="inlineStr">
        <is>
          <t>L2
模块</t>
        </is>
      </c>
      <c r="B125" s="28" t="inlineStr">
        <is>
          <t>E5</t>
        </is>
      </c>
      <c r="C125" s="40" t="inlineStr">
        <is>
          <t>P6</t>
        </is>
      </c>
      <c r="D125" s="30" t="inlineStr"/>
      <c r="E125" s="33" t="inlineStr">
        <is>
          <t>E5.阵法渲染</t>
        </is>
      </c>
      <c r="F125" s="30" t="inlineStr"/>
      <c r="G125" s="30" t="inlineStr"/>
      <c r="H125" s="30" t="inlineStr"/>
      <c r="I125" s="30" t="inlineStr"/>
      <c r="J125" s="30" t="inlineStr"/>
      <c r="K125" s="30" t="inlineStr">
        <is>
          <t>V1</t>
        </is>
      </c>
      <c r="L125" s="30" t="inlineStr"/>
    </row>
    <row r="126" ht="56" customHeight="1">
      <c r="A126" s="34" t="inlineStr">
        <is>
          <t>L3
功能</t>
        </is>
      </c>
      <c r="B126" s="28" t="inlineStr">
        <is>
          <t>E5.01</t>
        </is>
      </c>
      <c r="C126" s="40" t="inlineStr">
        <is>
          <t>P6</t>
        </is>
      </c>
      <c r="D126" s="30" t="inlineStr"/>
      <c r="E126" s="30" t="inlineStr">
        <is>
          <t>E5.阵法渲染</t>
        </is>
      </c>
      <c r="F126" s="35" t="inlineStr">
        <is>
          <t>阵法光阵</t>
        </is>
      </c>
      <c r="G126" s="36" t="inlineStr">
        <is>
          <t>for(let p of model.players) for(let f of p.formations){ let color=f.isActive?"rgba(26,188,156,0.4)":"rgba(100,100,100,0.3)"; Renderer.rect(ctx,f.px,f.py,cellW,cellH,color); Renderer.text(ctx,Cards.get(f.cardId).name,f.px+cellW/2,f.py+cellH/2,"#FFF",10) }</t>
        </is>
      </c>
      <c r="H126" s="37" t="inlineStr">
        <is>
          <t>BattleScene.renderFormations(ctx)</t>
        </is>
      </c>
      <c r="I126" s="7" t="inlineStr">
        <is>
          <t>js/scenes/BattleScene.js</t>
        </is>
      </c>
      <c r="J126" s="7" t="inlineStr">
        <is>
          <t>ctx → void</t>
        </is>
      </c>
      <c r="K126" s="38" t="inlineStr">
        <is>
          <t>V1</t>
        </is>
      </c>
      <c r="L126" s="39" t="inlineStr">
        <is>
          <t>待办</t>
        </is>
      </c>
    </row>
    <row r="127" ht="24" customHeight="1">
      <c r="A127" s="31" t="inlineStr">
        <is>
          <t>L2
模块</t>
        </is>
      </c>
      <c r="B127" s="28" t="inlineStr">
        <is>
          <t>E6</t>
        </is>
      </c>
      <c r="C127" s="40" t="inlineStr">
        <is>
          <t>P6</t>
        </is>
      </c>
      <c r="D127" s="30" t="inlineStr"/>
      <c r="E127" s="33" t="inlineStr">
        <is>
          <t>E6.UI-手牌栏</t>
        </is>
      </c>
      <c r="F127" s="30" t="inlineStr"/>
      <c r="G127" s="30" t="inlineStr"/>
      <c r="H127" s="30" t="inlineStr"/>
      <c r="I127" s="30" t="inlineStr"/>
      <c r="J127" s="30" t="inlineStr"/>
      <c r="K127" s="30" t="inlineStr">
        <is>
          <t>V1</t>
        </is>
      </c>
      <c r="L127" s="30" t="inlineStr"/>
    </row>
    <row r="128" ht="56" customHeight="1">
      <c r="A128" s="34" t="inlineStr">
        <is>
          <t>L3
功能</t>
        </is>
      </c>
      <c r="B128" s="28" t="inlineStr">
        <is>
          <t>E6.01</t>
        </is>
      </c>
      <c r="C128" s="40" t="inlineStr">
        <is>
          <t>P6</t>
        </is>
      </c>
      <c r="D128" s="30" t="inlineStr"/>
      <c r="E128" s="30" t="inlineStr">
        <is>
          <t>E6.UI-手牌栏</t>
        </is>
      </c>
      <c r="F128" s="35" t="inlineStr">
        <is>
          <t>手牌显示</t>
        </is>
      </c>
      <c r="G128" s="36" t="inlineStr">
        <is>
          <t>let hand=player.deck.hand; let cardW=(W-40)/4; for(let i=0;i&lt;hand.length;i++){ let card=Cards.get(hand[i]); let x=20+i*cardW; let y=H-80; if(i===this.selectedCard) y-=20; let canPlay=player.energy&gt;=card.cost; Renderer.rect(ctx,x,y,cardW-10,70,canPlay?"#FFF":"#999"); Renderer.text(ctx,card.name,x+cardW/2,y+20,"#333",12); Renderer.text(ctx,"费"+card.cost,x+cardW/2,y+50,"#B7950B",14) }</t>
        </is>
      </c>
      <c r="H128" s="37" t="inlineStr">
        <is>
          <t>HandBar.render(ctx)</t>
        </is>
      </c>
      <c r="I128" s="7" t="inlineStr">
        <is>
          <t>js/ui/HandBar.js</t>
        </is>
      </c>
      <c r="J128" s="7" t="inlineStr">
        <is>
          <t>ctx → void</t>
        </is>
      </c>
      <c r="K128" s="38" t="inlineStr">
        <is>
          <t>V1</t>
        </is>
      </c>
      <c r="L128" s="39" t="inlineStr">
        <is>
          <t>待办</t>
        </is>
      </c>
    </row>
    <row r="129" ht="56" customHeight="1">
      <c r="A129" s="34" t="inlineStr">
        <is>
          <t>L3
功能</t>
        </is>
      </c>
      <c r="B129" s="28" t="inlineStr">
        <is>
          <t>E6.02</t>
        </is>
      </c>
      <c r="C129" s="40" t="inlineStr">
        <is>
          <t>P6</t>
        </is>
      </c>
      <c r="D129" s="30" t="inlineStr"/>
      <c r="E129" s="30" t="inlineStr">
        <is>
          <t>E6.UI-手牌栏</t>
        </is>
      </c>
      <c r="F129" s="35" t="inlineStr">
        <is>
          <t>点击选中</t>
        </is>
      </c>
      <c r="G129" s="36" t="inlineStr">
        <is>
          <t>this.selectedCard = (this.selectedCard===index) ? -1 : index</t>
        </is>
      </c>
      <c r="H129" s="37" t="inlineStr">
        <is>
          <t>HandBar.onTap(index)</t>
        </is>
      </c>
      <c r="I129" s="7" t="inlineStr">
        <is>
          <t>js/ui/HandBar.js</t>
        </is>
      </c>
      <c r="J129" s="7" t="inlineStr">
        <is>
          <t>index:int → void</t>
        </is>
      </c>
      <c r="K129" s="38" t="inlineStr">
        <is>
          <t>V1</t>
        </is>
      </c>
      <c r="L129" s="39" t="inlineStr">
        <is>
          <t>待办</t>
        </is>
      </c>
    </row>
    <row r="130" ht="24" customHeight="1">
      <c r="A130" s="31" t="inlineStr">
        <is>
          <t>L2
模块</t>
        </is>
      </c>
      <c r="B130" s="28" t="inlineStr">
        <is>
          <t>E7</t>
        </is>
      </c>
      <c r="C130" s="40" t="inlineStr">
        <is>
          <t>P6</t>
        </is>
      </c>
      <c r="D130" s="30" t="inlineStr"/>
      <c r="E130" s="33" t="inlineStr">
        <is>
          <t>E7.UI-灵力条</t>
        </is>
      </c>
      <c r="F130" s="30" t="inlineStr"/>
      <c r="G130" s="30" t="inlineStr"/>
      <c r="H130" s="30" t="inlineStr"/>
      <c r="I130" s="30" t="inlineStr"/>
      <c r="J130" s="30" t="inlineStr"/>
      <c r="K130" s="30" t="inlineStr">
        <is>
          <t>V1</t>
        </is>
      </c>
      <c r="L130" s="30" t="inlineStr"/>
    </row>
    <row r="131" ht="56" customHeight="1">
      <c r="A131" s="34" t="inlineStr">
        <is>
          <t>L3
功能</t>
        </is>
      </c>
      <c r="B131" s="28" t="inlineStr">
        <is>
          <t>E7.01</t>
        </is>
      </c>
      <c r="C131" s="40" t="inlineStr">
        <is>
          <t>P6</t>
        </is>
      </c>
      <c r="D131" s="30" t="inlineStr"/>
      <c r="E131" s="30" t="inlineStr">
        <is>
          <t>E7.UI-灵力条</t>
        </is>
      </c>
      <c r="F131" s="35" t="inlineStr">
        <is>
          <t>灵力显示</t>
        </is>
      </c>
      <c r="G131" s="36" t="inlineStr">
        <is>
          <t>let p=model.players[0]; Renderer.rect(ctx,20,H-90,W-40,8,"#333"); Renderer.rect(ctx,20,H-90,(W-40)*(p.energy/p.energyMax),8,"#9B59B6"); Renderer.text(ctx,p.energy+"/"+p.energyMax,W/2,H-95,"#FFF",12)</t>
        </is>
      </c>
      <c r="H131" s="37" t="inlineStr">
        <is>
          <t>EnergyBar.render(ctx)</t>
        </is>
      </c>
      <c r="I131" s="7" t="inlineStr">
        <is>
          <t>js/ui/EnergyBar.js</t>
        </is>
      </c>
      <c r="J131" s="7" t="inlineStr">
        <is>
          <t>ctx → void</t>
        </is>
      </c>
      <c r="K131" s="38" t="inlineStr">
        <is>
          <t>V1</t>
        </is>
      </c>
      <c r="L131" s="39" t="inlineStr">
        <is>
          <t>待办</t>
        </is>
      </c>
    </row>
    <row r="132" ht="24" customHeight="1">
      <c r="A132" s="31" t="inlineStr">
        <is>
          <t>L2
模块</t>
        </is>
      </c>
      <c r="B132" s="28" t="inlineStr">
        <is>
          <t>E8</t>
        </is>
      </c>
      <c r="C132" s="40" t="inlineStr">
        <is>
          <t>P6</t>
        </is>
      </c>
      <c r="D132" s="30" t="inlineStr"/>
      <c r="E132" s="33" t="inlineStr">
        <is>
          <t>E8.UI-顶部HUD</t>
        </is>
      </c>
      <c r="F132" s="30" t="inlineStr"/>
      <c r="G132" s="30" t="inlineStr"/>
      <c r="H132" s="30" t="inlineStr"/>
      <c r="I132" s="30" t="inlineStr"/>
      <c r="J132" s="30" t="inlineStr"/>
      <c r="K132" s="30" t="inlineStr">
        <is>
          <t>V1</t>
        </is>
      </c>
      <c r="L132" s="30" t="inlineStr"/>
    </row>
    <row r="133" ht="56" customHeight="1">
      <c r="A133" s="34" t="inlineStr">
        <is>
          <t>L3
功能</t>
        </is>
      </c>
      <c r="B133" s="28" t="inlineStr">
        <is>
          <t>E8.01</t>
        </is>
      </c>
      <c r="C133" s="40" t="inlineStr">
        <is>
          <t>P6</t>
        </is>
      </c>
      <c r="D133" s="30" t="inlineStr"/>
      <c r="E133" s="30" t="inlineStr">
        <is>
          <t>E8.UI-顶部HUD</t>
        </is>
      </c>
      <c r="F133" s="35" t="inlineStr">
        <is>
          <t>双方血条</t>
        </is>
      </c>
      <c r="G133" s="36" t="inlineStr">
        <is>
          <t>let p0=model.players[0]; let p1=model.players[1]; Renderer.rect(ctx,0,0,W/2,6,"#E74C3C"); Renderer.rect(ctx,0,0,(W/2)*(p0.hallHp/p0.hallMaxHp),6,"#27AE60"); Renderer.rect(ctx,W/2,0,W/2,6,"#E74C3C"); Renderer.rect(ctx,W/2+(W/2)*(1-p1.hallHp/p1.hallMaxHp),0,(W/2)*(p1.hallHp/p1.hallMaxHp),6,"#27AE60")</t>
        </is>
      </c>
      <c r="H133" s="37" t="inlineStr">
        <is>
          <t>HUD.renderHallBars(ctx)</t>
        </is>
      </c>
      <c r="I133" s="7" t="inlineStr">
        <is>
          <t>js/ui/HUD.js</t>
        </is>
      </c>
      <c r="J133" s="7" t="inlineStr">
        <is>
          <t>ctx → void</t>
        </is>
      </c>
      <c r="K133" s="38" t="inlineStr">
        <is>
          <t>V1</t>
        </is>
      </c>
      <c r="L133" s="39" t="inlineStr">
        <is>
          <t>待办</t>
        </is>
      </c>
    </row>
    <row r="134" ht="56" customHeight="1">
      <c r="A134" s="34" t="inlineStr">
        <is>
          <t>L3
功能</t>
        </is>
      </c>
      <c r="B134" s="28" t="inlineStr">
        <is>
          <t>E8.02</t>
        </is>
      </c>
      <c r="C134" s="40" t="inlineStr">
        <is>
          <t>P6</t>
        </is>
      </c>
      <c r="D134" s="30" t="inlineStr"/>
      <c r="E134" s="30" t="inlineStr">
        <is>
          <t>E8.UI-顶部HUD</t>
        </is>
      </c>
      <c r="F134" s="35" t="inlineStr">
        <is>
          <t>计时器</t>
        </is>
      </c>
      <c r="G134" s="36" t="inlineStr">
        <is>
          <t>let t=Math.ceil(model.time); let color=t&lt;=30?"#E74C3C":"#FFF"; Renderer.text(ctx,t+"s",W/2,20,color,20)</t>
        </is>
      </c>
      <c r="H134" s="37" t="inlineStr">
        <is>
          <t>HUD.renderTimer(ctx)</t>
        </is>
      </c>
      <c r="I134" s="7" t="inlineStr">
        <is>
          <t>js/ui/HUD.js</t>
        </is>
      </c>
      <c r="J134" s="7" t="inlineStr">
        <is>
          <t>ctx → void</t>
        </is>
      </c>
      <c r="K134" s="38" t="inlineStr">
        <is>
          <t>V1</t>
        </is>
      </c>
      <c r="L134" s="39" t="inlineStr">
        <is>
          <t>待办</t>
        </is>
      </c>
    </row>
    <row r="135" ht="24" customHeight="1">
      <c r="A135" s="31" t="inlineStr">
        <is>
          <t>L2
模块</t>
        </is>
      </c>
      <c r="B135" s="28" t="inlineStr">
        <is>
          <t>E9</t>
        </is>
      </c>
      <c r="C135" s="40" t="inlineStr">
        <is>
          <t>P6</t>
        </is>
      </c>
      <c r="D135" s="30" t="inlineStr"/>
      <c r="E135" s="33" t="inlineStr">
        <is>
          <t>E9.出牌交互</t>
        </is>
      </c>
      <c r="F135" s="30" t="inlineStr"/>
      <c r="G135" s="30" t="inlineStr"/>
      <c r="H135" s="30" t="inlineStr"/>
      <c r="I135" s="30" t="inlineStr"/>
      <c r="J135" s="30" t="inlineStr"/>
      <c r="K135" s="30" t="inlineStr">
        <is>
          <t>V1</t>
        </is>
      </c>
      <c r="L135" s="30" t="inlineStr"/>
    </row>
    <row r="136" ht="56" customHeight="1">
      <c r="A136" s="34" t="inlineStr">
        <is>
          <t>L3
功能</t>
        </is>
      </c>
      <c r="B136" s="28" t="inlineStr">
        <is>
          <t>E9.01</t>
        </is>
      </c>
      <c r="C136" s="40" t="inlineStr">
        <is>
          <t>P6</t>
        </is>
      </c>
      <c r="D136" s="30" t="inlineStr"/>
      <c r="E136" s="30" t="inlineStr">
        <is>
          <t>E9.出牌交互</t>
        </is>
      </c>
      <c r="F136" s="35" t="inlineStr">
        <is>
          <t>手牌→选目标</t>
        </is>
      </c>
      <c r="G136" s="36" t="inlineStr">
        <is>
          <t>if(this.selectedCard===index){ this.selectedCard=-1; return } let card=Cards.get(player.deck.hand[index]); if(player.energy&lt;card.cost){ //提示灵力不足 return } this.selectedCard=index</t>
        </is>
      </c>
      <c r="H136" s="37" t="inlineStr">
        <is>
          <t>BattleScene.onCardTap(index)</t>
        </is>
      </c>
      <c r="I136" s="7" t="inlineStr">
        <is>
          <t>js/scenes/BattleScene.js</t>
        </is>
      </c>
      <c r="J136" s="7" t="inlineStr">
        <is>
          <t>index → void</t>
        </is>
      </c>
      <c r="K136" s="38" t="inlineStr">
        <is>
          <t>V1</t>
        </is>
      </c>
      <c r="L136" s="39" t="inlineStr">
        <is>
          <t>待办</t>
        </is>
      </c>
    </row>
    <row r="137" ht="56" customHeight="1">
      <c r="A137" s="34" t="inlineStr">
        <is>
          <t>L3
功能</t>
        </is>
      </c>
      <c r="B137" s="28" t="inlineStr">
        <is>
          <t>E9.02</t>
        </is>
      </c>
      <c r="C137" s="40" t="inlineStr">
        <is>
          <t>P6</t>
        </is>
      </c>
      <c r="D137" s="30" t="inlineStr"/>
      <c r="E137" s="30" t="inlineStr">
        <is>
          <t>E9.出牌交互</t>
        </is>
      </c>
      <c r="F137" s="35" t="inlineStr">
        <is>
          <t>格子点击执行</t>
        </is>
      </c>
      <c r="G137" s="36" t="inlineStr">
        <is>
          <t>if(this.selectedCard===-1) return; let card=Cards.get(player.deck.hand[this.selectedCard]); if(card.type==="unit") this.battleLogic.spawnUnit(player,card.cardId,0,model); else if(card.type==="formation") this.battleLogic.placeFormation(player,card.cardId,gx,gy,model); else this.battleLogic.castSpell(player,card.cardId,{x:gx,y:gy},model); this.selectedCard=-1</t>
        </is>
      </c>
      <c r="H137" s="37" t="inlineStr">
        <is>
          <t>BattleScene.onGridTap(gx,gy)</t>
        </is>
      </c>
      <c r="I137" s="7" t="inlineStr">
        <is>
          <t>js/scenes/BattleScene.js</t>
        </is>
      </c>
      <c r="J137" s="7" t="inlineStr">
        <is>
          <t>gx+gy → void</t>
        </is>
      </c>
      <c r="K137" s="38" t="inlineStr">
        <is>
          <t>V1</t>
        </is>
      </c>
      <c r="L137" s="39" t="inlineStr">
        <is>
          <t>待办</t>
        </is>
      </c>
    </row>
    <row r="138" ht="24" customHeight="1">
      <c r="A138" s="31" t="inlineStr">
        <is>
          <t>L2
模块</t>
        </is>
      </c>
      <c r="B138" s="28" t="inlineStr">
        <is>
          <t>E10</t>
        </is>
      </c>
      <c r="C138" s="40" t="inlineStr">
        <is>
          <t>P6</t>
        </is>
      </c>
      <c r="D138" s="30" t="inlineStr"/>
      <c r="E138" s="33" t="inlineStr">
        <is>
          <t>E10.结算场景</t>
        </is>
      </c>
      <c r="F138" s="30" t="inlineStr"/>
      <c r="G138" s="30" t="inlineStr"/>
      <c r="H138" s="30" t="inlineStr"/>
      <c r="I138" s="30" t="inlineStr"/>
      <c r="J138" s="30" t="inlineStr"/>
      <c r="K138" s="30" t="inlineStr">
        <is>
          <t>V1</t>
        </is>
      </c>
      <c r="L138" s="30" t="inlineStr"/>
    </row>
    <row r="139" ht="56" customHeight="1">
      <c r="A139" s="34" t="inlineStr">
        <is>
          <t>L3
功能</t>
        </is>
      </c>
      <c r="B139" s="28" t="inlineStr">
        <is>
          <t>E10.01</t>
        </is>
      </c>
      <c r="C139" s="40" t="inlineStr">
        <is>
          <t>P6</t>
        </is>
      </c>
      <c r="D139" s="30" t="inlineStr"/>
      <c r="E139" s="30" t="inlineStr">
        <is>
          <t>E10.结算场景</t>
        </is>
      </c>
      <c r="F139" s="35" t="inlineStr">
        <is>
          <t>胜负展示</t>
        </is>
      </c>
      <c r="G139" s="36" t="inlineStr">
        <is>
          <t>let text=model.winner===0?"胜利":"失败"; let color=model.winner===0?"#27AE60":"#E74C3C"; Renderer.text(ctx,text,W/2,H/2,color,48)</t>
        </is>
      </c>
      <c r="H139" s="37" t="inlineStr">
        <is>
          <t>ResultScene.renderResult(ctx)</t>
        </is>
      </c>
      <c r="I139" s="7" t="inlineStr">
        <is>
          <t>js/scenes/ResultScene.js</t>
        </is>
      </c>
      <c r="J139" s="7" t="inlineStr">
        <is>
          <t>ctx → void</t>
        </is>
      </c>
      <c r="K139" s="38" t="inlineStr">
        <is>
          <t>V1</t>
        </is>
      </c>
      <c r="L139" s="39" t="inlineStr">
        <is>
          <t>待办</t>
        </is>
      </c>
    </row>
    <row r="140" ht="56" customHeight="1">
      <c r="A140" s="34" t="inlineStr">
        <is>
          <t>L3
功能</t>
        </is>
      </c>
      <c r="B140" s="28" t="inlineStr">
        <is>
          <t>E10.02</t>
        </is>
      </c>
      <c r="C140" s="40" t="inlineStr">
        <is>
          <t>P6</t>
        </is>
      </c>
      <c r="D140" s="30" t="inlineStr"/>
      <c r="E140" s="30" t="inlineStr">
        <is>
          <t>E10.结算场景</t>
        </is>
      </c>
      <c r="F140" s="35" t="inlineStr">
        <is>
          <t>摧毁度</t>
        </is>
      </c>
      <c r="G140" s="36" t="inlineStr">
        <is>
          <t>let r0=Math.round((1-model.players[1].hallHp/30)*100); let r1=Math.round((1-model.players[0].hallHp/30)*100); Renderer.text(ctx,"我方"+r0+"% vs 敌方"+r1+"%",W/2,H/2+60,"#FFF",16)</t>
        </is>
      </c>
      <c r="H140" s="37" t="inlineStr">
        <is>
          <t>ResultScene.renderDestroyRate(ctx)</t>
        </is>
      </c>
      <c r="I140" s="7" t="inlineStr">
        <is>
          <t>js/scenes/ResultScene.js</t>
        </is>
      </c>
      <c r="J140" s="7" t="inlineStr">
        <is>
          <t>ctx → void</t>
        </is>
      </c>
      <c r="K140" s="38" t="inlineStr">
        <is>
          <t>V1</t>
        </is>
      </c>
      <c r="L140" s="39" t="inlineStr">
        <is>
          <t>待办</t>
        </is>
      </c>
    </row>
    <row r="141" ht="56" customHeight="1">
      <c r="A141" s="34" t="inlineStr">
        <is>
          <t>L3
功能</t>
        </is>
      </c>
      <c r="B141" s="28" t="inlineStr">
        <is>
          <t>E10.03</t>
        </is>
      </c>
      <c r="C141" s="40" t="inlineStr">
        <is>
          <t>P6</t>
        </is>
      </c>
      <c r="D141" s="30" t="inlineStr"/>
      <c r="E141" s="30" t="inlineStr">
        <is>
          <t>E10.结算场景</t>
        </is>
      </c>
      <c r="F141" s="35" t="inlineStr">
        <is>
          <t>再来一局</t>
        </is>
      </c>
      <c r="G141" s="36" t="inlineStr">
        <is>
          <t>SceneManager.switch("battle")</t>
        </is>
      </c>
      <c r="H141" s="37" t="inlineStr">
        <is>
          <t>ResultScene.onReplay()</t>
        </is>
      </c>
      <c r="I141" s="7" t="inlineStr">
        <is>
          <t>js/scenes/ResultScene.js</t>
        </is>
      </c>
      <c r="J141" s="7" t="inlineStr">
        <is>
          <t>void → void</t>
        </is>
      </c>
      <c r="K141" s="38" t="inlineStr">
        <is>
          <t>V1</t>
        </is>
      </c>
      <c r="L141" s="39" t="inlineStr">
        <is>
          <t>待办</t>
        </is>
      </c>
    </row>
    <row r="142" ht="24" customHeight="1">
      <c r="A142" s="31" t="inlineStr">
        <is>
          <t>L2
模块</t>
        </is>
      </c>
      <c r="B142" s="28" t="inlineStr">
        <is>
          <t>E11</t>
        </is>
      </c>
      <c r="C142" s="40" t="inlineStr">
        <is>
          <t>P6</t>
        </is>
      </c>
      <c r="D142" s="30" t="inlineStr"/>
      <c r="E142" s="33" t="inlineStr">
        <is>
          <t>E11.新手引导</t>
        </is>
      </c>
      <c r="F142" s="30" t="inlineStr"/>
      <c r="G142" s="30" t="inlineStr"/>
      <c r="H142" s="30" t="inlineStr"/>
      <c r="I142" s="30" t="inlineStr"/>
      <c r="J142" s="30" t="inlineStr"/>
      <c r="K142" s="30" t="inlineStr">
        <is>
          <t>V1</t>
        </is>
      </c>
      <c r="L142" s="30" t="inlineStr"/>
    </row>
    <row r="143" ht="56" customHeight="1">
      <c r="A143" s="34" t="inlineStr">
        <is>
          <t>L3
功能</t>
        </is>
      </c>
      <c r="B143" s="28" t="inlineStr">
        <is>
          <t>E11.01</t>
        </is>
      </c>
      <c r="C143" s="40" t="inlineStr">
        <is>
          <t>P6</t>
        </is>
      </c>
      <c r="D143" s="30" t="inlineStr"/>
      <c r="E143" s="30" t="inlineStr">
        <is>
          <t>E11.新手引导</t>
        </is>
      </c>
      <c r="F143" s="35" t="inlineStr">
        <is>
          <t>引导1-出牌</t>
        </is>
      </c>
      <c r="G143" s="36" t="inlineStr">
        <is>
          <t>高亮第一张手牌(画黄色边框)+画向下箭头+显示文字"点击出兵"→监听到手牌点击后step=2</t>
        </is>
      </c>
      <c r="H143" s="37" t="inlineStr">
        <is>
          <t>TutorialGuide.step1(ctx)</t>
        </is>
      </c>
      <c r="I143" s="7" t="inlineStr">
        <is>
          <t>js/ui/TutorialGuide.js</t>
        </is>
      </c>
      <c r="J143" s="7" t="inlineStr">
        <is>
          <t>ctx → void</t>
        </is>
      </c>
      <c r="K143" s="38" t="inlineStr">
        <is>
          <t>V1</t>
        </is>
      </c>
      <c r="L143" s="39" t="inlineStr">
        <is>
          <t>待办</t>
        </is>
      </c>
    </row>
    <row r="144" ht="56" customHeight="1">
      <c r="A144" s="34" t="inlineStr">
        <is>
          <t>L3
功能</t>
        </is>
      </c>
      <c r="B144" s="28" t="inlineStr">
        <is>
          <t>E11.02</t>
        </is>
      </c>
      <c r="C144" s="40" t="inlineStr">
        <is>
          <t>P6</t>
        </is>
      </c>
      <c r="D144" s="30" t="inlineStr"/>
      <c r="E144" s="30" t="inlineStr">
        <is>
          <t>E11.新手引导</t>
        </is>
      </c>
      <c r="F144" s="35" t="inlineStr">
        <is>
          <t>引导2-灵力</t>
        </is>
      </c>
      <c r="G144" s="36" t="inlineStr">
        <is>
          <t>高亮灵力条+文字"灵力不够时等待回复"→等3秒后step=3</t>
        </is>
      </c>
      <c r="H144" s="37" t="inlineStr">
        <is>
          <t>TutorialGuide.step2(ctx)</t>
        </is>
      </c>
      <c r="I144" s="7" t="inlineStr">
        <is>
          <t>js/ui/TutorialGuide.js</t>
        </is>
      </c>
      <c r="J144" s="7" t="inlineStr">
        <is>
          <t>ctx → void</t>
        </is>
      </c>
      <c r="K144" s="38" t="inlineStr">
        <is>
          <t>V1</t>
        </is>
      </c>
      <c r="L144" s="39" t="inlineStr">
        <is>
          <t>待办</t>
        </is>
      </c>
    </row>
    <row r="145" ht="56" customHeight="1">
      <c r="A145" s="34" t="inlineStr">
        <is>
          <t>L3
功能</t>
        </is>
      </c>
      <c r="B145" s="28" t="inlineStr">
        <is>
          <t>E11.03</t>
        </is>
      </c>
      <c r="C145" s="40" t="inlineStr">
        <is>
          <t>P6</t>
        </is>
      </c>
      <c r="D145" s="30" t="inlineStr"/>
      <c r="E145" s="30" t="inlineStr">
        <is>
          <t>E11.新手引导</t>
        </is>
      </c>
      <c r="F145" s="35" t="inlineStr">
        <is>
          <t>引导3-布阵</t>
        </is>
      </c>
      <c r="G145" s="36" t="inlineStr">
        <is>
          <t>高亮阵法区格子+文字"点击布阵拦截"→监听到布阵后step=4</t>
        </is>
      </c>
      <c r="H145" s="37" t="inlineStr">
        <is>
          <t>TutorialGuide.step3(ctx)</t>
        </is>
      </c>
      <c r="I145" s="7" t="inlineStr">
        <is>
          <t>js/ui/TutorialGuide.js</t>
        </is>
      </c>
      <c r="J145" s="7" t="inlineStr">
        <is>
          <t>ctx → void</t>
        </is>
      </c>
      <c r="K145" s="38" t="inlineStr">
        <is>
          <t>V1</t>
        </is>
      </c>
      <c r="L145" s="39" t="inlineStr">
        <is>
          <t>待办</t>
        </is>
      </c>
    </row>
    <row r="146" ht="56" customHeight="1">
      <c r="A146" s="34" t="inlineStr">
        <is>
          <t>L3
功能</t>
        </is>
      </c>
      <c r="B146" s="28" t="inlineStr">
        <is>
          <t>E11.04</t>
        </is>
      </c>
      <c r="C146" s="40" t="inlineStr">
        <is>
          <t>P6</t>
        </is>
      </c>
      <c r="D146" s="30" t="inlineStr"/>
      <c r="E146" s="30" t="inlineStr">
        <is>
          <t>E11.新手引导</t>
        </is>
      </c>
      <c r="F146" s="35" t="inlineStr">
        <is>
          <t>引导4-目标</t>
        </is>
      </c>
      <c r="G146" s="36" t="inlineStr">
        <is>
          <t>画指向敌方大殿的箭头+文字"摧毁大殿获胜"→2秒后step=0(引导结束)</t>
        </is>
      </c>
      <c r="H146" s="37" t="inlineStr">
        <is>
          <t>TutorialGuide.step4(ctx)</t>
        </is>
      </c>
      <c r="I146" s="7" t="inlineStr">
        <is>
          <t>js/ui/TutorialGuide.js</t>
        </is>
      </c>
      <c r="J146" s="7" t="inlineStr">
        <is>
          <t>ctx → void</t>
        </is>
      </c>
      <c r="K146" s="38" t="inlineStr">
        <is>
          <t>V1</t>
        </is>
      </c>
      <c r="L146" s="39" t="inlineStr">
        <is>
          <t>待办</t>
        </is>
      </c>
    </row>
    <row r="147" ht="32" customHeight="1">
      <c r="A147" s="52" t="inlineStr">
        <is>
          <t>L1
系统</t>
        </is>
      </c>
      <c r="B147" s="28" t="inlineStr"/>
      <c r="C147" s="9" t="inlineStr"/>
      <c r="D147" s="53" t="inlineStr">
        <is>
          <t>F.社交系统(V1.5)</t>
        </is>
      </c>
      <c r="E147" s="30" t="inlineStr"/>
      <c r="F147" s="30" t="inlineStr"/>
      <c r="G147" s="30" t="inlineStr"/>
      <c r="H147" s="30" t="inlineStr"/>
      <c r="I147" s="30" t="inlineStr"/>
      <c r="J147" s="30" t="inlineStr"/>
      <c r="K147" s="30" t="inlineStr"/>
      <c r="L147" s="30" t="inlineStr"/>
    </row>
    <row r="148" ht="56" customHeight="1">
      <c r="A148" s="34" t="inlineStr">
        <is>
          <t>L3
功能</t>
        </is>
      </c>
      <c r="B148" s="28" t="inlineStr">
        <is>
          <t>F1.01</t>
        </is>
      </c>
      <c r="C148" s="9" t="inlineStr">
        <is>
          <t>P9</t>
        </is>
      </c>
      <c r="D148" s="30" t="inlineStr"/>
      <c r="E148" s="30" t="inlineStr">
        <is>
          <t>F1.登录</t>
        </is>
      </c>
      <c r="F148" s="35" t="inlineStr">
        <is>
          <t>微信登录</t>
        </is>
      </c>
      <c r="G148" s="36" t="inlineStr">
        <is>
          <t>wx.login→code→wx.cloud.callFunction("login",{code})→返回openid→存wx.setStorageSync("openid",openid)</t>
        </is>
      </c>
      <c r="H148" s="37" t="inlineStr">
        <is>
          <t>CloudManager.login()</t>
        </is>
      </c>
      <c r="I148" s="7" t="inlineStr">
        <is>
          <t>js/social/CloudManager.js</t>
        </is>
      </c>
      <c r="J148" s="7" t="inlineStr">
        <is>
          <t>void → openid</t>
        </is>
      </c>
      <c r="K148" s="54" t="inlineStr">
        <is>
          <t>V1.5</t>
        </is>
      </c>
      <c r="L148" s="39" t="inlineStr">
        <is>
          <t>待办</t>
        </is>
      </c>
    </row>
    <row r="149" ht="56" customHeight="1">
      <c r="A149" s="34" t="inlineStr">
        <is>
          <t>L3
功能</t>
        </is>
      </c>
      <c r="B149" s="28" t="inlineStr">
        <is>
          <t>F1.02</t>
        </is>
      </c>
      <c r="C149" s="9" t="inlineStr">
        <is>
          <t>P10</t>
        </is>
      </c>
      <c r="D149" s="30" t="inlineStr"/>
      <c r="E149" s="30" t="inlineStr">
        <is>
          <t>F1.存档</t>
        </is>
      </c>
      <c r="F149" s="35" t="inlineStr">
        <is>
          <t>云存档</t>
        </is>
      </c>
      <c r="G149" s="36" t="inlineStr">
        <is>
          <t>wx.cloud.database().collection("users").doc(openid).set({data})</t>
        </is>
      </c>
      <c r="H149" s="37" t="inlineStr">
        <is>
          <t>CloudManager.save(data)</t>
        </is>
      </c>
      <c r="I149" s="7" t="inlineStr">
        <is>
          <t>js/social/CloudManager.js</t>
        </is>
      </c>
      <c r="J149" s="7" t="inlineStr">
        <is>
          <t>data → void</t>
        </is>
      </c>
      <c r="K149" s="54" t="inlineStr">
        <is>
          <t>V1.5</t>
        </is>
      </c>
      <c r="L149" s="39" t="inlineStr">
        <is>
          <t>待办</t>
        </is>
      </c>
    </row>
    <row r="150" ht="56" customHeight="1">
      <c r="A150" s="34" t="inlineStr">
        <is>
          <t>L3
功能</t>
        </is>
      </c>
      <c r="B150" s="28" t="inlineStr">
        <is>
          <t>F2.01</t>
        </is>
      </c>
      <c r="C150" s="9" t="inlineStr">
        <is>
          <t>P11</t>
        </is>
      </c>
      <c r="D150" s="30" t="inlineStr"/>
      <c r="E150" s="30" t="inlineStr">
        <is>
          <t>F2.异步PvP</t>
        </is>
      </c>
      <c r="F150" s="35" t="inlineStr">
        <is>
          <t>布阵上传</t>
        </is>
      </c>
      <c r="G150" s="36" t="inlineStr">
        <is>
          <t>wx.cloud.database().collection("challenges").add({data:{layout,openid}})→返回_id</t>
        </is>
      </c>
      <c r="H150" s="37" t="inlineStr">
        <is>
          <t>AsyncPvP.uploadLayout(layout)</t>
        </is>
      </c>
      <c r="I150" s="7" t="inlineStr">
        <is>
          <t>js/social/AsyncPvP.js</t>
        </is>
      </c>
      <c r="J150" s="7" t="inlineStr">
        <is>
          <t>layout → challengeId</t>
        </is>
      </c>
      <c r="K150" s="54" t="inlineStr">
        <is>
          <t>V1.5</t>
        </is>
      </c>
      <c r="L150" s="39" t="inlineStr">
        <is>
          <t>待办</t>
        </is>
      </c>
    </row>
    <row r="151" ht="56" customHeight="1">
      <c r="A151" s="34" t="inlineStr">
        <is>
          <t>L3
功能</t>
        </is>
      </c>
      <c r="B151" s="28" t="inlineStr">
        <is>
          <t>F2.02</t>
        </is>
      </c>
      <c r="C151" s="9" t="inlineStr">
        <is>
          <t>P11</t>
        </is>
      </c>
      <c r="D151" s="30" t="inlineStr"/>
      <c r="E151" s="30" t="inlineStr">
        <is>
          <t>F2.异步PvP</t>
        </is>
      </c>
      <c r="F151" s="35" t="inlineStr">
        <is>
          <t>加载对手</t>
        </is>
      </c>
      <c r="G151" s="36" t="inlineStr">
        <is>
          <t>wx.cloud.database().collection("challenges").doc(id).get()→返回layout→本地AI模拟攻打</t>
        </is>
      </c>
      <c r="H151" s="37" t="inlineStr">
        <is>
          <t>AsyncPvP.loadOpponent(id)</t>
        </is>
      </c>
      <c r="I151" s="7" t="inlineStr">
        <is>
          <t>js/social/AsyncPvP.js</t>
        </is>
      </c>
      <c r="J151" s="7" t="inlineStr">
        <is>
          <t>id → layout</t>
        </is>
      </c>
      <c r="K151" s="54" t="inlineStr">
        <is>
          <t>V1.5</t>
        </is>
      </c>
      <c r="L151" s="39" t="inlineStr">
        <is>
          <t>待办</t>
        </is>
      </c>
    </row>
    <row r="152" ht="56" customHeight="1">
      <c r="A152" s="34" t="inlineStr">
        <is>
          <t>L3
功能</t>
        </is>
      </c>
      <c r="B152" s="28" t="inlineStr">
        <is>
          <t>F3.01</t>
        </is>
      </c>
      <c r="C152" s="9" t="inlineStr">
        <is>
          <t>P12</t>
        </is>
      </c>
      <c r="D152" s="30" t="inlineStr"/>
      <c r="E152" s="30" t="inlineStr">
        <is>
          <t>F3.排行分享</t>
        </is>
      </c>
      <c r="F152" s="35" t="inlineStr">
        <is>
          <t>好友排行</t>
        </is>
      </c>
      <c r="G152" s="36" t="inlineStr">
        <is>
          <t>wx.getOpenDataContext().postMessage({action:"rank"})→开放数据域绘制排行</t>
        </is>
      </c>
      <c r="H152" s="37" t="inlineStr">
        <is>
          <t>RankManager.renderFriendRank()</t>
        </is>
      </c>
      <c r="I152" s="7" t="inlineStr">
        <is>
          <t>js/social/RankManager.js</t>
        </is>
      </c>
      <c r="J152" s="7" t="inlineStr">
        <is>
          <t>void → void</t>
        </is>
      </c>
      <c r="K152" s="54" t="inlineStr">
        <is>
          <t>V1.5</t>
        </is>
      </c>
      <c r="L152" s="39" t="inlineStr">
        <is>
          <t>待办</t>
        </is>
      </c>
    </row>
    <row r="153" ht="56" customHeight="1">
      <c r="A153" s="34" t="inlineStr">
        <is>
          <t>L3
功能</t>
        </is>
      </c>
      <c r="B153" s="28" t="inlineStr">
        <is>
          <t>F3.02</t>
        </is>
      </c>
      <c r="C153" s="9" t="inlineStr">
        <is>
          <t>P12</t>
        </is>
      </c>
      <c r="D153" s="30" t="inlineStr"/>
      <c r="E153" s="30" t="inlineStr">
        <is>
          <t>F3.排行分享</t>
        </is>
      </c>
      <c r="F153" s="35" t="inlineStr">
        <is>
          <t>分享</t>
        </is>
      </c>
      <c r="G153" s="36" t="inlineStr">
        <is>
          <t>wx.shareAppMessage({title,imageUrl})</t>
        </is>
      </c>
      <c r="H153" s="37" t="inlineStr">
        <is>
          <t>ShareManager.share(title,img)</t>
        </is>
      </c>
      <c r="I153" s="7" t="inlineStr">
        <is>
          <t>js/social/ShareManager.js</t>
        </is>
      </c>
      <c r="J153" s="7" t="inlineStr">
        <is>
          <t>title+img → void</t>
        </is>
      </c>
      <c r="K153" s="54" t="inlineStr">
        <is>
          <t>V1.5</t>
        </is>
      </c>
      <c r="L153" s="39" t="inlineStr">
        <is>
          <t>待办</t>
        </is>
      </c>
    </row>
    <row r="154" ht="32" customHeight="1">
      <c r="A154" s="55" t="inlineStr">
        <is>
          <t>L1
系统</t>
        </is>
      </c>
      <c r="B154" s="28" t="inlineStr"/>
      <c r="C154" s="9" t="inlineStr"/>
      <c r="D154" s="56" t="inlineStr">
        <is>
          <t>G.养成变现(V1.5)</t>
        </is>
      </c>
      <c r="E154" s="30" t="inlineStr"/>
      <c r="F154" s="30" t="inlineStr"/>
      <c r="G154" s="30" t="inlineStr"/>
      <c r="H154" s="30" t="inlineStr"/>
      <c r="I154" s="30" t="inlineStr"/>
      <c r="J154" s="30" t="inlineStr"/>
      <c r="K154" s="30" t="inlineStr"/>
      <c r="L154" s="30" t="inlineStr"/>
    </row>
    <row r="155" ht="56" customHeight="1">
      <c r="A155" s="34" t="inlineStr">
        <is>
          <t>L3
功能</t>
        </is>
      </c>
      <c r="B155" s="28" t="inlineStr">
        <is>
          <t>G1.01</t>
        </is>
      </c>
      <c r="C155" s="9" t="inlineStr">
        <is>
          <t>P13</t>
        </is>
      </c>
      <c r="D155" s="30" t="inlineStr"/>
      <c r="E155" s="30" t="inlineStr">
        <is>
          <t>G1.养成</t>
        </is>
      </c>
      <c r="F155" s="35" t="inlineStr">
        <is>
          <t>弟子升级</t>
        </is>
      </c>
      <c r="G155" s="36" t="inlineStr">
        <is>
          <t>unit.level++; unit.hp=baseHp*(1+level*0.1); unit.atk=baseAtk*(1+level*0.08)</t>
        </is>
      </c>
      <c r="H155" s="37" t="inlineStr">
        <is>
          <t>ProgressionSystem.levelUp(unitId)</t>
        </is>
      </c>
      <c r="I155" s="7" t="inlineStr">
        <is>
          <t>js/game/ProgressionSystem.js</t>
        </is>
      </c>
      <c r="J155" s="7" t="inlineStr">
        <is>
          <t>unitId → void</t>
        </is>
      </c>
      <c r="K155" s="54" t="inlineStr">
        <is>
          <t>V1.5</t>
        </is>
      </c>
      <c r="L155" s="39" t="inlineStr">
        <is>
          <t>待办</t>
        </is>
      </c>
    </row>
    <row r="156" ht="56" customHeight="1">
      <c r="A156" s="34" t="inlineStr">
        <is>
          <t>L3
功能</t>
        </is>
      </c>
      <c r="B156" s="28" t="inlineStr">
        <is>
          <t>G1.02</t>
        </is>
      </c>
      <c r="C156" s="9" t="inlineStr">
        <is>
          <t>P13</t>
        </is>
      </c>
      <c r="D156" s="30" t="inlineStr"/>
      <c r="E156" s="30" t="inlineStr">
        <is>
          <t>G1.养成</t>
        </is>
      </c>
      <c r="F156" s="35" t="inlineStr">
        <is>
          <t>弟子升星</t>
        </is>
      </c>
      <c r="G156" s="36" t="inlineStr">
        <is>
          <t>unit.star++; //练气→筑基→金丹→元婴 解锁更高上限+新技能</t>
        </is>
      </c>
      <c r="H156" s="37" t="inlineStr">
        <is>
          <t>ProgressionSystem.starUp(unitId)</t>
        </is>
      </c>
      <c r="I156" s="7" t="inlineStr">
        <is>
          <t>js/game/ProgressionSystem.js</t>
        </is>
      </c>
      <c r="J156" s="7" t="inlineStr">
        <is>
          <t>unitId → void</t>
        </is>
      </c>
      <c r="K156" s="54" t="inlineStr">
        <is>
          <t>V1.5</t>
        </is>
      </c>
      <c r="L156" s="39" t="inlineStr">
        <is>
          <t>待办</t>
        </is>
      </c>
    </row>
    <row r="157" ht="56" customHeight="1">
      <c r="A157" s="34" t="inlineStr">
        <is>
          <t>L3
功能</t>
        </is>
      </c>
      <c r="B157" s="28" t="inlineStr">
        <is>
          <t>G2.01</t>
        </is>
      </c>
      <c r="C157" s="9" t="inlineStr">
        <is>
          <t>P14</t>
        </is>
      </c>
      <c r="D157" s="30" t="inlineStr"/>
      <c r="E157" s="30" t="inlineStr">
        <is>
          <t>G2.变现</t>
        </is>
      </c>
      <c r="F157" s="35" t="inlineStr">
        <is>
          <t>激励广告</t>
        </is>
      </c>
      <c r="G157" s="36" t="inlineStr">
        <is>
          <t>let ad=wx.createRewardedVideoAd({adUnitId}); ad.show(); ad.onClose(res=&gt;{ if(res.isEnded) cb() })</t>
        </is>
      </c>
      <c r="H157" s="37" t="inlineStr">
        <is>
          <t>AdManager.showReward(cb)</t>
        </is>
      </c>
      <c r="I157" s="7" t="inlineStr">
        <is>
          <t>js/monetize/AdManager.js</t>
        </is>
      </c>
      <c r="J157" s="7" t="inlineStr">
        <is>
          <t>cb → void</t>
        </is>
      </c>
      <c r="K157" s="54" t="inlineStr">
        <is>
          <t>V1.5</t>
        </is>
      </c>
      <c r="L157" s="39" t="inlineStr">
        <is>
          <t>待办</t>
        </is>
      </c>
    </row>
    <row r="158" ht="56" customHeight="1">
      <c r="A158" s="34" t="inlineStr">
        <is>
          <t>L3
功能</t>
        </is>
      </c>
      <c r="B158" s="28" t="inlineStr">
        <is>
          <t>G2.02</t>
        </is>
      </c>
      <c r="C158" s="9" t="inlineStr">
        <is>
          <t>P14</t>
        </is>
      </c>
      <c r="D158" s="30" t="inlineStr"/>
      <c r="E158" s="30" t="inlineStr">
        <is>
          <t>G2.变现</t>
        </is>
      </c>
      <c r="F158" s="35" t="inlineStr">
        <is>
          <t>内购</t>
        </is>
      </c>
      <c r="G158" s="36" t="inlineStr">
        <is>
          <t>wx.requestPayment({timeStamp,nonceStr,package,signType,paySign,success:cb})</t>
        </is>
      </c>
      <c r="H158" s="37" t="inlineStr">
        <is>
          <t>IAPManager.buy(productId,cb)</t>
        </is>
      </c>
      <c r="I158" s="7" t="inlineStr">
        <is>
          <t>js/monetize/IAPManager.js</t>
        </is>
      </c>
      <c r="J158" s="7" t="inlineStr">
        <is>
          <t>productId+cb → void</t>
        </is>
      </c>
      <c r="K158" s="54" t="inlineStr">
        <is>
          <t>V1.5</t>
        </is>
      </c>
      <c r="L158" s="39" t="inlineStr">
        <is>
          <t>待办</t>
        </is>
      </c>
    </row>
    <row r="159" ht="32" customHeight="1">
      <c r="A159" s="57" t="inlineStr">
        <is>
          <t>L1
系统</t>
        </is>
      </c>
      <c r="B159" s="28" t="inlineStr"/>
      <c r="C159" s="9" t="inlineStr"/>
      <c r="D159" s="58" t="inlineStr">
        <is>
          <t>H.实时PvP(V2)</t>
        </is>
      </c>
      <c r="E159" s="30" t="inlineStr"/>
      <c r="F159" s="30" t="inlineStr"/>
      <c r="G159" s="30" t="inlineStr"/>
      <c r="H159" s="30" t="inlineStr"/>
      <c r="I159" s="30" t="inlineStr"/>
      <c r="J159" s="30" t="inlineStr"/>
      <c r="K159" s="30" t="inlineStr"/>
      <c r="L159" s="30" t="inlineStr"/>
    </row>
    <row r="160" ht="56" customHeight="1">
      <c r="A160" s="34" t="inlineStr">
        <is>
          <t>L3
功能</t>
        </is>
      </c>
      <c r="B160" s="28" t="inlineStr">
        <is>
          <t>H1.01</t>
        </is>
      </c>
      <c r="C160" s="9" t="inlineStr">
        <is>
          <t>P16</t>
        </is>
      </c>
      <c r="D160" s="30" t="inlineStr"/>
      <c r="E160" s="30" t="inlineStr">
        <is>
          <t>H1.网络</t>
        </is>
      </c>
      <c r="F160" s="35" t="inlineStr">
        <is>
          <t>WebSocket</t>
        </is>
      </c>
      <c r="G160" s="36" t="inlineStr">
        <is>
          <t>this.ws=wx.connectSocket({url}); this.ws.onOpen(cb); this.ws.onMessage(cb); this.ws.onClose(cb); setInterval(()=&gt;this.ws.send({type:"ping"}),10000)</t>
        </is>
      </c>
      <c r="H160" s="37" t="inlineStr">
        <is>
          <t>NetworkClient.connect(url)</t>
        </is>
      </c>
      <c r="I160" s="7" t="inlineStr">
        <is>
          <t>js/net/NetworkClient.js</t>
        </is>
      </c>
      <c r="J160" s="7" t="inlineStr">
        <is>
          <t>url → void</t>
        </is>
      </c>
      <c r="K160" s="59" t="inlineStr">
        <is>
          <t>V2</t>
        </is>
      </c>
      <c r="L160" s="39" t="inlineStr">
        <is>
          <t>待办</t>
        </is>
      </c>
    </row>
    <row r="161" ht="56" customHeight="1">
      <c r="A161" s="34" t="inlineStr">
        <is>
          <t>L3
功能</t>
        </is>
      </c>
      <c r="B161" s="28" t="inlineStr">
        <is>
          <t>H1.02</t>
        </is>
      </c>
      <c r="C161" s="9" t="inlineStr">
        <is>
          <t>P16</t>
        </is>
      </c>
      <c r="D161" s="30" t="inlineStr"/>
      <c r="E161" s="30" t="inlineStr">
        <is>
          <t>H1.网络</t>
        </is>
      </c>
      <c r="F161" s="35" t="inlineStr">
        <is>
          <t>断线重连</t>
        </is>
      </c>
      <c r="G161" s="36" t="inlineStr">
        <is>
          <t>onClose时保存model状态→wx.connectSocket重连→send({type:"reconnect",roomId})→服务端恢复</t>
        </is>
      </c>
      <c r="H161" s="37" t="inlineStr">
        <is>
          <t>NetworkClient.reconnect()</t>
        </is>
      </c>
      <c r="I161" s="7" t="inlineStr">
        <is>
          <t>js/net/NetworkClient.js</t>
        </is>
      </c>
      <c r="J161" s="7" t="inlineStr">
        <is>
          <t>void → void</t>
        </is>
      </c>
      <c r="K161" s="59" t="inlineStr">
        <is>
          <t>V2</t>
        </is>
      </c>
      <c r="L161" s="39" t="inlineStr">
        <is>
          <t>待办</t>
        </is>
      </c>
    </row>
    <row r="162" ht="56" customHeight="1">
      <c r="A162" s="34" t="inlineStr">
        <is>
          <t>L3
功能</t>
        </is>
      </c>
      <c r="B162" s="28" t="inlineStr">
        <is>
          <t>H2.01</t>
        </is>
      </c>
      <c r="C162" s="9" t="inlineStr">
        <is>
          <t>P17</t>
        </is>
      </c>
      <c r="D162" s="30" t="inlineStr"/>
      <c r="E162" s="30" t="inlineStr">
        <is>
          <t>H2.同步</t>
        </is>
      </c>
      <c r="F162" s="35" t="inlineStr">
        <is>
          <t>操作上报</t>
        </is>
      </c>
      <c r="G162" s="36" t="inlineStr">
        <is>
          <t>this.ws.send(JSON.stringify({type:"action",action:{cardId,target,timestamp}}))</t>
        </is>
      </c>
      <c r="H162" s="37" t="inlineStr">
        <is>
          <t>SyncManager.sendAction(action)</t>
        </is>
      </c>
      <c r="I162" s="7" t="inlineStr">
        <is>
          <t>js/net/SyncManager.js</t>
        </is>
      </c>
      <c r="J162" s="7" t="inlineStr">
        <is>
          <t>action → void</t>
        </is>
      </c>
      <c r="K162" s="59" t="inlineStr">
        <is>
          <t>V2</t>
        </is>
      </c>
      <c r="L162" s="39" t="inlineStr">
        <is>
          <t>待办</t>
        </is>
      </c>
    </row>
    <row r="163" ht="56" customHeight="1">
      <c r="A163" s="34" t="inlineStr">
        <is>
          <t>L3
功能</t>
        </is>
      </c>
      <c r="B163" s="28" t="inlineStr">
        <is>
          <t>H2.02</t>
        </is>
      </c>
      <c r="C163" s="9" t="inlineStr">
        <is>
          <t>P17</t>
        </is>
      </c>
      <c r="D163" s="30" t="inlineStr"/>
      <c r="E163" s="30" t="inlineStr">
        <is>
          <t>H2.同步</t>
        </is>
      </c>
      <c r="F163" s="35" t="inlineStr">
        <is>
          <t>状态接收</t>
        </is>
      </c>
      <c r="G163" s="36" t="inlineStr">
        <is>
          <t>onMessage→JSON.parse→if(type==="state") model.applyState(state)</t>
        </is>
      </c>
      <c r="H163" s="37" t="inlineStr">
        <is>
          <t>SyncManager.onState(state)</t>
        </is>
      </c>
      <c r="I163" s="7" t="inlineStr">
        <is>
          <t>js/net/SyncManager.js</t>
        </is>
      </c>
      <c r="J163" s="7" t="inlineStr">
        <is>
          <t>state → void</t>
        </is>
      </c>
      <c r="K163" s="59" t="inlineStr">
        <is>
          <t>V2</t>
        </is>
      </c>
      <c r="L163" s="39" t="inlineStr">
        <is>
          <t>待办</t>
        </is>
      </c>
    </row>
    <row r="164" ht="56" customHeight="1">
      <c r="A164" s="34" t="inlineStr">
        <is>
          <t>L3
功能</t>
        </is>
      </c>
      <c r="B164" s="28" t="inlineStr">
        <is>
          <t>H3.01</t>
        </is>
      </c>
      <c r="C164" s="9" t="inlineStr">
        <is>
          <t>P18</t>
        </is>
      </c>
      <c r="D164" s="30" t="inlineStr"/>
      <c r="E164" s="30" t="inlineStr">
        <is>
          <t>H3.匹配</t>
        </is>
      </c>
      <c r="F164" s="35" t="inlineStr">
        <is>
          <t>匹配系统</t>
        </is>
      </c>
      <c r="G164" s="36" t="inlineStr">
        <is>
          <t>wx.cloud.callFunction("match",{elo})→返回{roomId,opponentElo}</t>
        </is>
      </c>
      <c r="H164" s="37" t="inlineStr">
        <is>
          <t>MatchMaker.match(elo)</t>
        </is>
      </c>
      <c r="I164" s="7" t="inlineStr">
        <is>
          <t>js/net/MatchMaker.js</t>
        </is>
      </c>
      <c r="J164" s="7" t="inlineStr">
        <is>
          <t>elo → roomId</t>
        </is>
      </c>
      <c r="K164" s="59" t="inlineStr">
        <is>
          <t>V2</t>
        </is>
      </c>
      <c r="L164" s="39" t="inlineStr">
        <is>
          <t>待办</t>
        </is>
      </c>
    </row>
    <row r="165" ht="56" customHeight="1">
      <c r="A165" s="34" t="inlineStr">
        <is>
          <t>L3
功能</t>
        </is>
      </c>
      <c r="B165" s="28" t="inlineStr">
        <is>
          <t>H3.02</t>
        </is>
      </c>
      <c r="C165" s="9" t="inlineStr">
        <is>
          <t>P18</t>
        </is>
      </c>
      <c r="D165" s="30" t="inlineStr"/>
      <c r="E165" s="30" t="inlineStr">
        <is>
          <t>H3.匹配</t>
        </is>
      </c>
      <c r="F165" s="35" t="inlineStr">
        <is>
          <t>段位赛</t>
        </is>
      </c>
      <c r="G165" s="36" t="inlineStr">
        <is>
          <t>if(win) elo+=20; else elo-=15; rank=eloToRank(elo); //青铜→宗师</t>
        </is>
      </c>
      <c r="H165" s="37" t="inlineStr">
        <is>
          <t>RankSystem.updateRank(win)</t>
        </is>
      </c>
      <c r="I165" s="7" t="inlineStr">
        <is>
          <t>js/net/RankSystem.js</t>
        </is>
      </c>
      <c r="J165" s="7" t="inlineStr">
        <is>
          <t>win:bool → void</t>
        </is>
      </c>
      <c r="K165" s="59" t="inlineStr">
        <is>
          <t>V2</t>
        </is>
      </c>
      <c r="L165" s="39" t="inlineStr">
        <is>
          <t>待办</t>
        </is>
      </c>
    </row>
    <row r="167">
      <c r="A167" s="2" t="inlineStr">
        <is>
          <t>层级：L1系统(色块)→L2模块(浅蓝)→L3功能(浅橙)→L4原理(浅紫)→L5函数(浅青) | 阶段列标P1~P8 | 文件路径列告诉你代码放哪 | 改状态→进度统计自动更新</t>
        </is>
      </c>
    </row>
  </sheetData>
  <mergeCells count="2">
    <mergeCell ref="A167:L167"/>
    <mergeCell ref="A1:L1"/>
  </mergeCells>
  <conditionalFormatting sqref="L3:L165">
    <cfRule type="expression" priority="1" dxfId="0">
      <formula>$L3="已完成"</formula>
    </cfRule>
    <cfRule type="expression" priority="2" dxfId="1">
      <formula>$L3="进行中"</formula>
    </cfRule>
    <cfRule type="expression" priority="3" dxfId="2">
      <formula>$L3="待办"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6" customWidth="1" min="8" max="8"/>
    <col width="4" customWidth="1" min="9" max="9"/>
  </cols>
  <sheetData>
    <row r="1" ht="44" customHeight="1">
      <c r="A1" s="1" t="inlineStr">
        <is>
          <t>进度统计 — 自动计算（改主表状态后刷新即更新）</t>
        </is>
      </c>
    </row>
    <row r="3" ht="30" customHeight="1">
      <c r="A3" s="3" t="inlineStr"/>
      <c r="B3" s="3" t="inlineStr">
        <is>
          <t>系统大类</t>
        </is>
      </c>
      <c r="C3" s="3" t="inlineStr">
        <is>
          <t>阶段</t>
        </is>
      </c>
      <c r="D3" s="3" t="inlineStr">
        <is>
          <t>总点数</t>
        </is>
      </c>
      <c r="E3" s="3" t="inlineStr">
        <is>
          <t>已完成</t>
        </is>
      </c>
      <c r="F3" s="3" t="inlineStr">
        <is>
          <t>进行中</t>
        </is>
      </c>
      <c r="G3" s="3" t="inlineStr">
        <is>
          <t>待办</t>
        </is>
      </c>
      <c r="H3" s="3" t="inlineStr">
        <is>
          <t>完成率</t>
        </is>
      </c>
      <c r="I3" s="3" t="inlineStr">
        <is>
          <t>进度条</t>
        </is>
      </c>
    </row>
    <row r="4" ht="30" customHeight="1">
      <c r="A4" s="60" t="inlineStr"/>
      <c r="B4" s="29" t="inlineStr">
        <is>
          <t>A.引擎框架</t>
        </is>
      </c>
      <c r="C4" s="61" t="inlineStr">
        <is>
          <t>P1/P6</t>
        </is>
      </c>
      <c r="D4" s="61">
        <f>COUNTIFS('2.开发主表'!B3:B165,"A*",'2.开发主表'!L3:L165,"待办")+COUNTIFS('2.开发主表'!B3:B165,"A*",'2.开发主表'!L3:L165,"进行中")+COUNTIFS('2.开发主表'!B3:B165,"A*",'2.开发主表'!L3:L165,"已完成")</f>
        <v/>
      </c>
      <c r="E4" s="61">
        <f>COUNTIFS('2.开发主表'!B3:B165,"A*",'2.开发主表'!L3:L165,"已完成")</f>
        <v/>
      </c>
      <c r="F4" s="61">
        <f>COUNTIFS('2.开发主表'!B3:B165,"A*",'2.开发主表'!L3:L165,"进行中")</f>
        <v/>
      </c>
      <c r="G4" s="61">
        <f>COUNTIFS('2.开发主表'!B3:B165,"A*",'2.开发主表'!L3:L165,"待办")</f>
        <v/>
      </c>
      <c r="H4" s="61">
        <f>IF(D4=0,"0%",TEXT(E4/D4,"0%"))</f>
        <v/>
      </c>
      <c r="I4" s="62">
        <f>REPT("█",ROUND(E4/D4*20,0))&amp;REPT("░",20-ROUND(E4/D4*20,0))</f>
        <v/>
      </c>
    </row>
    <row r="5" ht="30" customHeight="1">
      <c r="A5" s="60" t="inlineStr"/>
      <c r="B5" s="42" t="inlineStr">
        <is>
          <t>B.游戏数据</t>
        </is>
      </c>
      <c r="C5" s="61" t="inlineStr">
        <is>
          <t>P2</t>
        </is>
      </c>
      <c r="D5" s="61">
        <f>COUNTIFS('2.开发主表'!B3:B165,"B*",'2.开发主表'!L3:L165,"待办")+COUNTIFS('2.开发主表'!B3:B165,"B*",'2.开发主表'!L3:L165,"进行中")+COUNTIFS('2.开发主表'!B3:B165,"B*",'2.开发主表'!L3:L165,"已完成")</f>
        <v/>
      </c>
      <c r="E5" s="61">
        <f>COUNTIFS('2.开发主表'!B3:B165,"B*",'2.开发主表'!L3:L165,"已完成")</f>
        <v/>
      </c>
      <c r="F5" s="61">
        <f>COUNTIFS('2.开发主表'!B3:B165,"B*",'2.开发主表'!L3:L165,"进行中")</f>
        <v/>
      </c>
      <c r="G5" s="61">
        <f>COUNTIFS('2.开发主表'!B3:B165,"B*",'2.开发主表'!L3:L165,"待办")</f>
        <v/>
      </c>
      <c r="H5" s="61">
        <f>IF(D5=0,"0%",TEXT(E5/D5,"0%"))</f>
        <v/>
      </c>
      <c r="I5" s="62">
        <f>REPT("█",ROUND(E5/D5*20,0))&amp;REPT("░",20-ROUND(E5/D5*20,0))</f>
        <v/>
      </c>
    </row>
    <row r="6" ht="30" customHeight="1">
      <c r="A6" s="60" t="inlineStr"/>
      <c r="B6" s="44" t="inlineStr">
        <is>
          <t>C.战斗逻辑</t>
        </is>
      </c>
      <c r="C6" s="61" t="inlineStr">
        <is>
          <t>P3/P4</t>
        </is>
      </c>
      <c r="D6" s="61">
        <f>COUNTIFS('2.开发主表'!B3:B165,"C*",'2.开发主表'!L3:L165,"待办")+COUNTIFS('2.开发主表'!B3:B165,"C*",'2.开发主表'!L3:L165,"进行中")+COUNTIFS('2.开发主表'!B3:B165,"C*",'2.开发主表'!L3:L165,"已完成")</f>
        <v/>
      </c>
      <c r="E6" s="61">
        <f>COUNTIFS('2.开发主表'!B3:B165,"C*",'2.开发主表'!L3:L165,"已完成")</f>
        <v/>
      </c>
      <c r="F6" s="61">
        <f>COUNTIFS('2.开发主表'!B3:B165,"C*",'2.开发主表'!L3:L165,"进行中")</f>
        <v/>
      </c>
      <c r="G6" s="61">
        <f>COUNTIFS('2.开发主表'!B3:B165,"C*",'2.开发主表'!L3:L165,"待办")</f>
        <v/>
      </c>
      <c r="H6" s="61">
        <f>IF(D6=0,"0%",TEXT(E6/D6,"0%"))</f>
        <v/>
      </c>
      <c r="I6" s="62">
        <f>REPT("█",ROUND(E6/D6*20,0))&amp;REPT("░",20-ROUND(E6/D6*20,0))</f>
        <v/>
      </c>
    </row>
    <row r="7" ht="30" customHeight="1">
      <c r="A7" s="60" t="inlineStr"/>
      <c r="B7" s="49" t="inlineStr">
        <is>
          <t>D.AI系统</t>
        </is>
      </c>
      <c r="C7" s="61" t="inlineStr">
        <is>
          <t>P5</t>
        </is>
      </c>
      <c r="D7" s="61">
        <f>COUNTIFS('2.开发主表'!B3:B165,"D*",'2.开发主表'!L3:L165,"待办")+COUNTIFS('2.开发主表'!B3:B165,"D*",'2.开发主表'!L3:L165,"进行中")+COUNTIFS('2.开发主表'!B3:B165,"D*",'2.开发主表'!L3:L165,"已完成")</f>
        <v/>
      </c>
      <c r="E7" s="61">
        <f>COUNTIFS('2.开发主表'!B3:B165,"D*",'2.开发主表'!L3:L165,"已完成")</f>
        <v/>
      </c>
      <c r="F7" s="61">
        <f>COUNTIFS('2.开发主表'!B3:B165,"D*",'2.开发主表'!L3:L165,"进行中")</f>
        <v/>
      </c>
      <c r="G7" s="61">
        <f>COUNTIFS('2.开发主表'!B3:B165,"D*",'2.开发主表'!L3:L165,"待办")</f>
        <v/>
      </c>
      <c r="H7" s="61">
        <f>IF(D7=0,"0%",TEXT(E7/D7,"0%"))</f>
        <v/>
      </c>
      <c r="I7" s="62">
        <f>REPT("█",ROUND(E7/D7*20,0))&amp;REPT("░",20-ROUND(E7/D7*20,0))</f>
        <v/>
      </c>
    </row>
    <row r="8" ht="30" customHeight="1">
      <c r="A8" s="60" t="inlineStr"/>
      <c r="B8" s="51" t="inlineStr">
        <is>
          <t>E.渲染与UI</t>
        </is>
      </c>
      <c r="C8" s="61" t="inlineStr">
        <is>
          <t>P6</t>
        </is>
      </c>
      <c r="D8" s="61">
        <f>COUNTIFS('2.开发主表'!B3:B165,"E*",'2.开发主表'!L3:L165,"待办")+COUNTIFS('2.开发主表'!B3:B165,"E*",'2.开发主表'!L3:L165,"进行中")+COUNTIFS('2.开发主表'!B3:B165,"E*",'2.开发主表'!L3:L165,"已完成")</f>
        <v/>
      </c>
      <c r="E8" s="61">
        <f>COUNTIFS('2.开发主表'!B3:B165,"E*",'2.开发主表'!L3:L165,"已完成")</f>
        <v/>
      </c>
      <c r="F8" s="61">
        <f>COUNTIFS('2.开发主表'!B3:B165,"E*",'2.开发主表'!L3:L165,"进行中")</f>
        <v/>
      </c>
      <c r="G8" s="61">
        <f>COUNTIFS('2.开发主表'!B3:B165,"E*",'2.开发主表'!L3:L165,"待办")</f>
        <v/>
      </c>
      <c r="H8" s="61">
        <f>IF(D8=0,"0%",TEXT(E8/D8,"0%"))</f>
        <v/>
      </c>
      <c r="I8" s="62">
        <f>REPT("█",ROUND(E8/D8*20,0))&amp;REPT("░",20-ROUND(E8/D8*20,0))</f>
        <v/>
      </c>
    </row>
    <row r="9" ht="30" customHeight="1">
      <c r="A9" s="60" t="inlineStr"/>
      <c r="B9" s="53" t="inlineStr">
        <is>
          <t>F.社交系统</t>
        </is>
      </c>
      <c r="C9" s="61" t="inlineStr">
        <is>
          <t>P7+</t>
        </is>
      </c>
      <c r="D9" s="61">
        <f>COUNTIFS('2.开发主表'!B3:B165,"F*",'2.开发主表'!L3:L165,"待办")+COUNTIFS('2.开发主表'!B3:B165,"F*",'2.开发主表'!L3:L165,"进行中")+COUNTIFS('2.开发主表'!B3:B165,"F*",'2.开发主表'!L3:L165,"已完成")</f>
        <v/>
      </c>
      <c r="E9" s="61">
        <f>COUNTIFS('2.开发主表'!B3:B165,"F*",'2.开发主表'!L3:L165,"已完成")</f>
        <v/>
      </c>
      <c r="F9" s="61">
        <f>COUNTIFS('2.开发主表'!B3:B165,"F*",'2.开发主表'!L3:L165,"进行中")</f>
        <v/>
      </c>
      <c r="G9" s="61">
        <f>COUNTIFS('2.开发主表'!B3:B165,"F*",'2.开发主表'!L3:L165,"待办")</f>
        <v/>
      </c>
      <c r="H9" s="61">
        <f>IF(D9=0,"0%",TEXT(E9/D9,"0%"))</f>
        <v/>
      </c>
      <c r="I9" s="62">
        <f>REPT("█",ROUND(E9/D9*20,0))&amp;REPT("░",20-ROUND(E9/D9*20,0))</f>
        <v/>
      </c>
    </row>
    <row r="10" ht="30" customHeight="1">
      <c r="A10" s="60" t="inlineStr"/>
      <c r="B10" s="56" t="inlineStr">
        <is>
          <t>G.养成变现</t>
        </is>
      </c>
      <c r="C10" s="61" t="inlineStr">
        <is>
          <t>P7+</t>
        </is>
      </c>
      <c r="D10" s="61">
        <f>COUNTIFS('2.开发主表'!B3:B165,"G*",'2.开发主表'!L3:L165,"待办")+COUNTIFS('2.开发主表'!B3:B165,"G*",'2.开发主表'!L3:L165,"进行中")+COUNTIFS('2.开发主表'!B3:B165,"G*",'2.开发主表'!L3:L165,"已完成")</f>
        <v/>
      </c>
      <c r="E10" s="61">
        <f>COUNTIFS('2.开发主表'!B3:B165,"G*",'2.开发主表'!L3:L165,"已完成")</f>
        <v/>
      </c>
      <c r="F10" s="61">
        <f>COUNTIFS('2.开发主表'!B3:B165,"G*",'2.开发主表'!L3:L165,"进行中")</f>
        <v/>
      </c>
      <c r="G10" s="61">
        <f>COUNTIFS('2.开发主表'!B3:B165,"G*",'2.开发主表'!L3:L165,"待办")</f>
        <v/>
      </c>
      <c r="H10" s="61">
        <f>IF(D10=0,"0%",TEXT(E10/D10,"0%"))</f>
        <v/>
      </c>
      <c r="I10" s="62">
        <f>REPT("█",ROUND(E10/D10*20,0))&amp;REPT("░",20-ROUND(E10/D10*20,0))</f>
        <v/>
      </c>
    </row>
    <row r="11" ht="30" customHeight="1">
      <c r="A11" s="60" t="inlineStr"/>
      <c r="B11" s="58" t="inlineStr">
        <is>
          <t>H.实时PvP</t>
        </is>
      </c>
      <c r="C11" s="61" t="inlineStr">
        <is>
          <t>V2</t>
        </is>
      </c>
      <c r="D11" s="61">
        <f>COUNTIFS('2.开发主表'!B3:B165,"H*",'2.开发主表'!L3:L165,"待办")+COUNTIFS('2.开发主表'!B3:B165,"H*",'2.开发主表'!L3:L165,"进行中")+COUNTIFS('2.开发主表'!B3:B165,"H*",'2.开发主表'!L3:L165,"已完成")</f>
        <v/>
      </c>
      <c r="E11" s="61">
        <f>COUNTIFS('2.开发主表'!B3:B165,"H*",'2.开发主表'!L3:L165,"已完成")</f>
        <v/>
      </c>
      <c r="F11" s="61">
        <f>COUNTIFS('2.开发主表'!B3:B165,"H*",'2.开发主表'!L3:L165,"进行中")</f>
        <v/>
      </c>
      <c r="G11" s="61">
        <f>COUNTIFS('2.开发主表'!B3:B165,"H*",'2.开发主表'!L3:L165,"待办")</f>
        <v/>
      </c>
      <c r="H11" s="61">
        <f>IF(D11=0,"0%",TEXT(E11/D11,"0%"))</f>
        <v/>
      </c>
      <c r="I11" s="62">
        <f>REPT("█",ROUND(E11/D11*20,0))&amp;REPT("░",20-ROUND(E11/D11*20,0))</f>
        <v/>
      </c>
    </row>
    <row r="12" ht="34" customHeight="1">
      <c r="A12" s="63" t="inlineStr"/>
      <c r="B12" s="63" t="inlineStr">
        <is>
          <t>总计</t>
        </is>
      </c>
      <c r="C12" s="3" t="inlineStr"/>
      <c r="D12" s="3">
        <f>SUM(D4:D11)</f>
        <v/>
      </c>
      <c r="E12" s="3">
        <f>SUM(E4:E11)</f>
        <v/>
      </c>
      <c r="F12" s="3">
        <f>SUM(F4:F11)</f>
        <v/>
      </c>
      <c r="G12" s="3">
        <f>SUM(G4:G11)</f>
        <v/>
      </c>
      <c r="H12" s="3">
        <f>IF(D12=0,"0%",TEXT(E12/D12,"0%"))</f>
        <v/>
      </c>
      <c r="I12" s="3">
        <f>REPT("█",ROUND(E12/D12*20,0))&amp;REPT("░",20-ROUND(E12/D12*20,0))</f>
        <v/>
      </c>
    </row>
    <row r="14" ht="30" customHeight="1">
      <c r="A14" s="18" t="inlineStr">
        <is>
          <t>按阶段统计</t>
        </is>
      </c>
    </row>
    <row r="15" ht="30" customHeight="1">
      <c r="A15" s="3" t="inlineStr"/>
      <c r="B15" s="3" t="inlineStr">
        <is>
          <t>阶段</t>
        </is>
      </c>
      <c r="C15" s="3" t="inlineStr">
        <is>
          <t>阶段名称</t>
        </is>
      </c>
      <c r="D15" s="3" t="inlineStr">
        <is>
          <t>总点数</t>
        </is>
      </c>
      <c r="E15" s="3" t="inlineStr">
        <is>
          <t>已完成</t>
        </is>
      </c>
      <c r="F15" s="3" t="inlineStr">
        <is>
          <t>进行中</t>
        </is>
      </c>
      <c r="G15" s="3" t="inlineStr">
        <is>
          <t>待办</t>
        </is>
      </c>
      <c r="H15" s="3" t="inlineStr">
        <is>
          <t>完成率</t>
        </is>
      </c>
      <c r="I15" s="3" t="inlineStr">
        <is>
          <t>进度条</t>
        </is>
      </c>
    </row>
    <row r="16" ht="28" customHeight="1">
      <c r="A16" s="60" t="inlineStr"/>
      <c r="B16" s="29" t="inlineStr">
        <is>
          <t>P1</t>
        </is>
      </c>
      <c r="C16" s="61" t="inlineStr">
        <is>
          <t>引擎骨架</t>
        </is>
      </c>
      <c r="D16" s="61">
        <f>COUNTIF('2.开发主表'!C3:C165,"P1")</f>
        <v/>
      </c>
      <c r="E16" s="61">
        <f>COUNTIFS('2.开发主表'!C3:C165,"P1",'2.开发主表'!L3:L165,"已完成")</f>
        <v/>
      </c>
      <c r="F16" s="61">
        <f>COUNTIFS('2.开发主表'!C3:C165,"P1",'2.开发主表'!L3:L165,"进行中")</f>
        <v/>
      </c>
      <c r="G16" s="61">
        <f>COUNTIFS('2.开发主表'!C3:C165,"P1",'2.开发主表'!L3:L165,"待办")</f>
        <v/>
      </c>
      <c r="H16" s="61">
        <f>IF(D16=0,"0%",TEXT(E16/D16,"0%"))</f>
        <v/>
      </c>
      <c r="I16" s="62">
        <f>REPT("█",ROUND(E16/D16*20,0))&amp;REPT("░",20-ROUND(E16/D16*20,0))</f>
        <v/>
      </c>
    </row>
    <row r="17" ht="28" customHeight="1">
      <c r="A17" s="60" t="inlineStr"/>
      <c r="B17" s="42" t="inlineStr">
        <is>
          <t>P2</t>
        </is>
      </c>
      <c r="C17" s="61" t="inlineStr">
        <is>
          <t>数据层</t>
        </is>
      </c>
      <c r="D17" s="61">
        <f>COUNTIF('2.开发主表'!C3:C165,"P2")</f>
        <v/>
      </c>
      <c r="E17" s="61">
        <f>COUNTIFS('2.开发主表'!C3:C165,"P2",'2.开发主表'!L3:L165,"已完成")</f>
        <v/>
      </c>
      <c r="F17" s="61">
        <f>COUNTIFS('2.开发主表'!C3:C165,"P2",'2.开发主表'!L3:L165,"进行中")</f>
        <v/>
      </c>
      <c r="G17" s="61">
        <f>COUNTIFS('2.开发主表'!C3:C165,"P2",'2.开发主表'!L3:L165,"待办")</f>
        <v/>
      </c>
      <c r="H17" s="61">
        <f>IF(D17=0,"0%",TEXT(E17/D17,"0%"))</f>
        <v/>
      </c>
      <c r="I17" s="62">
        <f>REPT("█",ROUND(E17/D17*20,0))&amp;REPT("░",20-ROUND(E17/D17*20,0))</f>
        <v/>
      </c>
    </row>
    <row r="18" ht="28" customHeight="1">
      <c r="A18" s="60" t="inlineStr"/>
      <c r="B18" s="44" t="inlineStr">
        <is>
          <t>P3</t>
        </is>
      </c>
      <c r="C18" s="61" t="inlineStr">
        <is>
          <t>核心战斗</t>
        </is>
      </c>
      <c r="D18" s="61">
        <f>COUNTIF('2.开发主表'!C3:C165,"P3")</f>
        <v/>
      </c>
      <c r="E18" s="61">
        <f>COUNTIFS('2.开发主表'!C3:C165,"P3",'2.开发主表'!L3:L165,"已完成")</f>
        <v/>
      </c>
      <c r="F18" s="61">
        <f>COUNTIFS('2.开发主表'!C3:C165,"P3",'2.开发主表'!L3:L165,"进行中")</f>
        <v/>
      </c>
      <c r="G18" s="61">
        <f>COUNTIFS('2.开发主表'!C3:C165,"P3",'2.开发主表'!L3:L165,"待办")</f>
        <v/>
      </c>
      <c r="H18" s="61">
        <f>IF(D18=0,"0%",TEXT(E18/D18,"0%"))</f>
        <v/>
      </c>
      <c r="I18" s="62">
        <f>REPT("█",ROUND(E18/D18*20,0))&amp;REPT("░",20-ROUND(E18/D18*20,0))</f>
        <v/>
      </c>
    </row>
    <row r="19" ht="28" customHeight="1">
      <c r="A19" s="60" t="inlineStr"/>
      <c r="B19" s="49" t="inlineStr">
        <is>
          <t>P4</t>
        </is>
      </c>
      <c r="C19" s="61" t="inlineStr">
        <is>
          <t>扩展战斗</t>
        </is>
      </c>
      <c r="D19" s="61">
        <f>COUNTIF('2.开发主表'!C3:C165,"P4")</f>
        <v/>
      </c>
      <c r="E19" s="61">
        <f>COUNTIFS('2.开发主表'!C3:C165,"P4",'2.开发主表'!L3:L165,"已完成")</f>
        <v/>
      </c>
      <c r="F19" s="61">
        <f>COUNTIFS('2.开发主表'!C3:C165,"P4",'2.开发主表'!L3:L165,"进行中")</f>
        <v/>
      </c>
      <c r="G19" s="61">
        <f>COUNTIFS('2.开发主表'!C3:C165,"P4",'2.开发主表'!L3:L165,"待办")</f>
        <v/>
      </c>
      <c r="H19" s="61">
        <f>IF(D19=0,"0%",TEXT(E19/D19,"0%"))</f>
        <v/>
      </c>
      <c r="I19" s="62">
        <f>REPT("█",ROUND(E19/D19*20,0))&amp;REPT("░",20-ROUND(E19/D19*20,0))</f>
        <v/>
      </c>
    </row>
    <row r="20" ht="28" customHeight="1">
      <c r="A20" s="60" t="inlineStr"/>
      <c r="B20" s="51" t="inlineStr">
        <is>
          <t>P5</t>
        </is>
      </c>
      <c r="C20" s="61" t="inlineStr">
        <is>
          <t>AI对手</t>
        </is>
      </c>
      <c r="D20" s="61">
        <f>COUNTIF('2.开发主表'!C3:C165,"P5")</f>
        <v/>
      </c>
      <c r="E20" s="61">
        <f>COUNTIFS('2.开发主表'!C3:C165,"P5",'2.开发主表'!L3:L165,"已完成")</f>
        <v/>
      </c>
      <c r="F20" s="61">
        <f>COUNTIFS('2.开发主表'!C3:C165,"P5",'2.开发主表'!L3:L165,"进行中")</f>
        <v/>
      </c>
      <c r="G20" s="61">
        <f>COUNTIFS('2.开发主表'!C3:C165,"P5",'2.开发主表'!L3:L165,"待办")</f>
        <v/>
      </c>
      <c r="H20" s="61">
        <f>IF(D20=0,"0%",TEXT(E20/D20,"0%"))</f>
        <v/>
      </c>
      <c r="I20" s="62">
        <f>REPT("█",ROUND(E20/D20*20,0))&amp;REPT("░",20-ROUND(E20/D20*20,0))</f>
        <v/>
      </c>
    </row>
    <row r="21" ht="28" customHeight="1">
      <c r="A21" s="60" t="inlineStr"/>
      <c r="B21" s="53" t="inlineStr">
        <is>
          <t>P6</t>
        </is>
      </c>
      <c r="C21" s="61" t="inlineStr">
        <is>
          <t>渲染交互</t>
        </is>
      </c>
      <c r="D21" s="61">
        <f>COUNTIF('2.开发主表'!C3:C165,"P6")</f>
        <v/>
      </c>
      <c r="E21" s="61">
        <f>COUNTIFS('2.开发主表'!C3:C165,"P6",'2.开发主表'!L3:L165,"已完成")</f>
        <v/>
      </c>
      <c r="F21" s="61">
        <f>COUNTIFS('2.开发主表'!C3:C165,"P6",'2.开发主表'!L3:L165,"进行中")</f>
        <v/>
      </c>
      <c r="G21" s="61">
        <f>COUNTIFS('2.开发主表'!C3:C165,"P6",'2.开发主表'!L3:L165,"待办")</f>
        <v/>
      </c>
      <c r="H21" s="61">
        <f>IF(D21=0,"0%",TEXT(E21/D21,"0%"))</f>
        <v/>
      </c>
      <c r="I21" s="62">
        <f>REPT("█",ROUND(E21/D21*20,0))&amp;REPT("░",20-ROUND(E21/D21*20,0))</f>
        <v/>
      </c>
    </row>
    <row r="22" ht="28" customHeight="1">
      <c r="A22" s="60" t="inlineStr"/>
      <c r="B22" s="56" t="inlineStr">
        <is>
          <t>P7</t>
        </is>
      </c>
      <c r="C22" s="61" t="inlineStr">
        <is>
          <t>测试平衡</t>
        </is>
      </c>
      <c r="D22" s="61">
        <f>COUNTIF('2.开发主表'!C3:C165,"P7")</f>
        <v/>
      </c>
      <c r="E22" s="61">
        <f>COUNTIFS('2.开发主表'!C3:C165,"P7",'2.开发主表'!L3:L165,"已完成")</f>
        <v/>
      </c>
      <c r="F22" s="61">
        <f>COUNTIFS('2.开发主表'!C3:C165,"P7",'2.开发主表'!L3:L165,"进行中")</f>
        <v/>
      </c>
      <c r="G22" s="61">
        <f>COUNTIFS('2.开发主表'!C3:C165,"P7",'2.开发主表'!L3:L165,"待办")</f>
        <v/>
      </c>
      <c r="H22" s="61">
        <f>IF(D22=0,"0%",TEXT(E22/D22,"0%"))</f>
        <v/>
      </c>
      <c r="I22" s="62">
        <f>REPT("█",ROUND(E22/D22*20,0))&amp;REPT("░",20-ROUND(E22/D22*20,0))</f>
        <v/>
      </c>
    </row>
    <row r="23" ht="28" customHeight="1">
      <c r="A23" s="60" t="inlineStr"/>
      <c r="B23" s="64" t="inlineStr">
        <is>
          <t>P8</t>
        </is>
      </c>
      <c r="C23" s="61" t="inlineStr">
        <is>
          <t>上线</t>
        </is>
      </c>
      <c r="D23" s="61">
        <f>COUNTIF('2.开发主表'!C3:C165,"P8")</f>
        <v/>
      </c>
      <c r="E23" s="61">
        <f>COUNTIFS('2.开发主表'!C3:C165,"P8",'2.开发主表'!L3:L165,"已完成")</f>
        <v/>
      </c>
      <c r="F23" s="61">
        <f>COUNTIFS('2.开发主表'!C3:C165,"P8",'2.开发主表'!L3:L165,"进行中")</f>
        <v/>
      </c>
      <c r="G23" s="61">
        <f>COUNTIFS('2.开发主表'!C3:C165,"P8",'2.开发主表'!L3:L165,"待办")</f>
        <v/>
      </c>
      <c r="H23" s="61">
        <f>IF(D23=0,"0%",TEXT(E23/D23,"0%"))</f>
        <v/>
      </c>
      <c r="I23" s="62">
        <f>REPT("█",ROUND(E23/D23*20,0))&amp;REPT("░",20-ROUND(E23/D23*20,0))</f>
        <v/>
      </c>
    </row>
    <row r="25">
      <c r="B25" s="2" t="inlineStr">
        <is>
          <t>说明：改「2.开发主表」的"状态"列后，回到本表按Ctrl+Z再Ctrl+Y（或重新打开文件）即可刷新数字。</t>
        </is>
      </c>
    </row>
  </sheetData>
  <mergeCells count="3">
    <mergeCell ref="A1:I1"/>
    <mergeCell ref="B25:I25"/>
    <mergeCell ref="A14:I1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30" customWidth="1" min="8" max="8"/>
    <col width="8" customWidth="1" min="9" max="9"/>
  </cols>
  <sheetData>
    <row r="1" ht="44" customHeight="1">
      <c r="A1" s="1" t="inlineStr">
        <is>
          <t>卡牌数据表 — 改数值直接在这改</t>
        </is>
      </c>
    </row>
    <row r="3" ht="30" customHeight="1">
      <c r="A3" s="65" t="inlineStr">
        <is>
          <t>攻方·人物卡</t>
        </is>
      </c>
    </row>
    <row r="4" ht="30" customHeight="1">
      <c r="A4" s="3" t="inlineStr">
        <is>
          <t>名称</t>
        </is>
      </c>
      <c r="B4" s="3" t="inlineStr">
        <is>
          <t>类型</t>
        </is>
      </c>
      <c r="C4" s="3" t="inlineStr">
        <is>
          <t>费用</t>
        </is>
      </c>
      <c r="D4" s="3" t="inlineStr">
        <is>
          <t>血量</t>
        </is>
      </c>
      <c r="E4" s="3" t="inlineStr">
        <is>
          <t>攻击</t>
        </is>
      </c>
      <c r="F4" s="3" t="inlineStr">
        <is>
          <t>移速</t>
        </is>
      </c>
      <c r="G4" s="3" t="inlineStr">
        <is>
          <t>间隔</t>
        </is>
      </c>
      <c r="H4" s="3" t="inlineStr">
        <is>
          <t>特性</t>
        </is>
      </c>
      <c r="I4" s="3" t="inlineStr">
        <is>
          <t>稀有度</t>
        </is>
      </c>
    </row>
    <row r="5" ht="24" customHeight="1">
      <c r="A5" s="66" t="inlineStr">
        <is>
          <t>宗门体修弟子</t>
        </is>
      </c>
      <c r="B5" s="61" t="inlineStr">
        <is>
          <t>普通弟子</t>
        </is>
      </c>
      <c r="C5" s="61" t="n">
        <v>2</v>
      </c>
      <c r="D5" s="61" t="n">
        <v>4</v>
      </c>
      <c r="E5" s="61" t="n">
        <v>2</v>
      </c>
      <c r="F5" s="61" t="n">
        <v>1</v>
      </c>
      <c r="G5" s="61" t="n">
        <v>1</v>
      </c>
      <c r="H5" s="61" t="inlineStr">
        <is>
          <t>普通近战士兵，基础兵</t>
        </is>
      </c>
      <c r="I5" s="61" t="inlineStr">
        <is>
          <t>凡品</t>
        </is>
      </c>
    </row>
    <row r="6" ht="24" customHeight="1">
      <c r="A6" s="66" t="inlineStr">
        <is>
          <t>宗门剑修弟子</t>
        </is>
      </c>
      <c r="B6" s="61" t="inlineStr">
        <is>
          <t>普通弟子</t>
        </is>
      </c>
      <c r="C6" s="61" t="n">
        <v>3</v>
      </c>
      <c r="D6" s="61" t="n">
        <v>3</v>
      </c>
      <c r="E6" s="61" t="n">
        <v>3</v>
      </c>
      <c r="F6" s="61" t="n">
        <v>0.9</v>
      </c>
      <c r="G6" s="61" t="n">
        <v>1.3</v>
      </c>
      <c r="H6" s="61" t="inlineStr">
        <is>
          <t>远程(射程3)，用飞剑，不掉血</t>
        </is>
      </c>
      <c r="I6" s="61" t="inlineStr">
        <is>
          <t>凡品</t>
        </is>
      </c>
    </row>
    <row r="7" ht="24" customHeight="1">
      <c r="A7" s="66" t="inlineStr">
        <is>
          <t>宗门御兽弟子</t>
        </is>
      </c>
      <c r="B7" s="61" t="inlineStr">
        <is>
          <t>普通弟子</t>
        </is>
      </c>
      <c r="C7" s="61" t="n">
        <v>3</v>
      </c>
      <c r="D7" s="61" t="n">
        <v>6</v>
      </c>
      <c r="E7" s="61" t="n">
        <v>2</v>
      </c>
      <c r="F7" s="61" t="n">
        <v>0.8</v>
      </c>
      <c r="G7" s="61" t="n">
        <v>1.2</v>
      </c>
      <c r="H7" s="61" t="inlineStr">
        <is>
          <t>控兽当肉盾，高血低速</t>
        </is>
      </c>
      <c r="I7" s="61" t="inlineStr">
        <is>
          <t>凡品</t>
        </is>
      </c>
    </row>
    <row r="8" ht="24" customHeight="1">
      <c r="A8" s="66" t="inlineStr">
        <is>
          <t>金丹期长老</t>
        </is>
      </c>
      <c r="B8" s="61" t="inlineStr">
        <is>
          <t>精英长老</t>
        </is>
      </c>
      <c r="C8" s="61" t="n">
        <v>6</v>
      </c>
      <c r="D8" s="61" t="n">
        <v>10</v>
      </c>
      <c r="E8" s="61" t="n">
        <v>3</v>
      </c>
      <c r="F8" s="61" t="n">
        <v>0.8</v>
      </c>
      <c r="G8" s="61" t="n">
        <v>1.5</v>
      </c>
      <c r="H8" s="61" t="inlineStr">
        <is>
          <t>每5s随机释放4分支技能</t>
        </is>
      </c>
      <c r="I8" s="61" t="inlineStr">
        <is>
          <t>宝品</t>
        </is>
      </c>
    </row>
    <row r="10" ht="30" customHeight="1">
      <c r="A10" s="21" t="inlineStr">
        <is>
          <t>守方·人物卡</t>
        </is>
      </c>
    </row>
    <row r="11" ht="30" customHeight="1">
      <c r="A11" s="3" t="inlineStr">
        <is>
          <t>名称</t>
        </is>
      </c>
      <c r="B11" s="3" t="inlineStr">
        <is>
          <t>类型</t>
        </is>
      </c>
      <c r="C11" s="3" t="inlineStr">
        <is>
          <t>费用</t>
        </is>
      </c>
      <c r="D11" s="3" t="inlineStr">
        <is>
          <t>血量</t>
        </is>
      </c>
      <c r="E11" s="3" t="inlineStr">
        <is>
          <t>攻击</t>
        </is>
      </c>
      <c r="F11" s="3" t="inlineStr">
        <is>
          <t>射程</t>
        </is>
      </c>
      <c r="G11" s="3" t="inlineStr">
        <is>
          <t>间隔</t>
        </is>
      </c>
      <c r="H11" s="3" t="inlineStr">
        <is>
          <t>特性</t>
        </is>
      </c>
      <c r="I11" s="3" t="inlineStr">
        <is>
          <t>稀有度</t>
        </is>
      </c>
    </row>
    <row r="12" ht="24" customHeight="1">
      <c r="A12" s="67" t="inlineStr">
        <is>
          <t>护山傀儡</t>
        </is>
      </c>
      <c r="B12" s="61" t="inlineStr">
        <is>
          <t>防守单位</t>
        </is>
      </c>
      <c r="C12" s="61" t="n">
        <v>3</v>
      </c>
      <c r="D12" s="61" t="n">
        <v>6</v>
      </c>
      <c r="E12" s="61" t="n">
        <v>2</v>
      </c>
      <c r="F12" s="61" t="n">
        <v>1</v>
      </c>
      <c r="G12" s="61" t="n">
        <v>1.2</v>
      </c>
      <c r="H12" s="61" t="inlineStr">
        <is>
          <t>缓慢移动肉盾守卫</t>
        </is>
      </c>
      <c r="I12" s="61" t="inlineStr">
        <is>
          <t>凡品</t>
        </is>
      </c>
    </row>
    <row r="13" ht="24" customHeight="1">
      <c r="A13" s="67" t="inlineStr">
        <is>
          <t>护山灵兽</t>
        </is>
      </c>
      <c r="B13" s="61" t="inlineStr">
        <is>
          <t>防守单位</t>
        </is>
      </c>
      <c r="C13" s="61" t="n">
        <v>4</v>
      </c>
      <c r="D13" s="61" t="n">
        <v>8</v>
      </c>
      <c r="E13" s="61" t="n">
        <v>2</v>
      </c>
      <c r="F13" s="61" t="n">
        <v>1</v>
      </c>
      <c r="G13" s="61" t="n">
        <v>1</v>
      </c>
      <c r="H13" s="61" t="inlineStr">
        <is>
          <t>高血拦截，死亡自爆1伤</t>
        </is>
      </c>
      <c r="I13" s="61" t="inlineStr">
        <is>
          <t>灵品</t>
        </is>
      </c>
    </row>
    <row r="14" ht="24" customHeight="1">
      <c r="A14" s="67" t="inlineStr">
        <is>
          <t>护法长老</t>
        </is>
      </c>
      <c r="B14" s="61" t="inlineStr">
        <is>
          <t>精英长老</t>
        </is>
      </c>
      <c r="C14" s="61" t="n">
        <v>6</v>
      </c>
      <c r="D14" s="61" t="n">
        <v>10</v>
      </c>
      <c r="E14" s="61" t="n">
        <v>3</v>
      </c>
      <c r="F14" s="61" t="n">
        <v>1</v>
      </c>
      <c r="G14" s="61" t="n">
        <v>1.5</v>
      </c>
      <c r="H14" s="61" t="inlineStr">
        <is>
          <t>镇守大殿前，每5s随机释放4分支</t>
        </is>
      </c>
      <c r="I14" s="61" t="inlineStr">
        <is>
          <t>宝品</t>
        </is>
      </c>
    </row>
    <row r="16" ht="30" customHeight="1">
      <c r="A16" s="68" t="inlineStr">
        <is>
          <t>阵法（双方通用）</t>
        </is>
      </c>
    </row>
    <row r="17" ht="30" customHeight="1">
      <c r="A17" s="3" t="inlineStr">
        <is>
          <t>名称</t>
        </is>
      </c>
      <c r="B17" s="3" t="inlineStr">
        <is>
          <t>类型</t>
        </is>
      </c>
      <c r="C17" s="3" t="inlineStr">
        <is>
          <t>费用</t>
        </is>
      </c>
      <c r="D17" s="3" t="inlineStr">
        <is>
          <t>血量</t>
        </is>
      </c>
      <c r="E17" s="3" t="inlineStr">
        <is>
          <t>攻击</t>
        </is>
      </c>
      <c r="F17" s="3" t="inlineStr">
        <is>
          <t>射程</t>
        </is>
      </c>
      <c r="G17" s="3" t="inlineStr">
        <is>
          <t>间隔</t>
        </is>
      </c>
      <c r="H17" s="3" t="inlineStr">
        <is>
          <t>特性</t>
        </is>
      </c>
      <c r="I17" s="3" t="inlineStr">
        <is>
          <t>稀有度</t>
        </is>
      </c>
    </row>
    <row r="18" ht="24" customHeight="1">
      <c r="A18" s="69" t="inlineStr">
        <is>
          <t>截脉阵</t>
        </is>
      </c>
      <c r="B18" s="61" t="inlineStr">
        <is>
          <t>阵法</t>
        </is>
      </c>
      <c r="C18" s="61" t="n">
        <v>2</v>
      </c>
      <c r="D18" s="61" t="n">
        <v>4</v>
      </c>
      <c r="E18" s="61" t="n">
        <v>2</v>
      </c>
      <c r="F18" s="61" t="n">
        <v>1</v>
      </c>
      <c r="G18" s="61" t="n">
        <v>1</v>
      </c>
      <c r="H18" s="61" t="inlineStr">
        <is>
          <t>基础拦截，便宜</t>
        </is>
      </c>
      <c r="I18" s="61" t="inlineStr">
        <is>
          <t>凡品</t>
        </is>
      </c>
    </row>
    <row r="19" ht="24" customHeight="1">
      <c r="A19" s="69" t="inlineStr">
        <is>
          <t>寒霜阵</t>
        </is>
      </c>
      <c r="B19" s="61" t="inlineStr">
        <is>
          <t>阵法</t>
        </is>
      </c>
      <c r="C19" s="61" t="n">
        <v>3</v>
      </c>
      <c r="D19" s="61" t="n">
        <v>3</v>
      </c>
      <c r="E19" s="61" t="n">
        <v>1</v>
      </c>
      <c r="F19" s="61" t="n">
        <v>1</v>
      </c>
      <c r="G19" s="61" t="n">
        <v>1</v>
      </c>
      <c r="H19" s="61" t="inlineStr">
        <is>
          <t>命中后敌人移速-0.5(2s)</t>
        </is>
      </c>
      <c r="I19" s="61" t="inlineStr">
        <is>
          <t>凡品</t>
        </is>
      </c>
    </row>
    <row r="20" ht="24" customHeight="1">
      <c r="A20" s="69" t="inlineStr">
        <is>
          <t>万刃阵</t>
        </is>
      </c>
      <c r="B20" s="61" t="inlineStr">
        <is>
          <t>阵法</t>
        </is>
      </c>
      <c r="C20" s="61" t="n">
        <v>4</v>
      </c>
      <c r="D20" s="61" t="n">
        <v>5</v>
      </c>
      <c r="E20" s="61" t="n">
        <v>3</v>
      </c>
      <c r="F20" s="61" t="n">
        <v>1</v>
      </c>
      <c r="G20" s="61" t="n">
        <v>1</v>
      </c>
      <c r="H20" s="61" t="inlineStr">
        <is>
          <t>高输出拦截</t>
        </is>
      </c>
      <c r="I20" s="61" t="inlineStr">
        <is>
          <t>灵品</t>
        </is>
      </c>
    </row>
    <row r="21" ht="24" customHeight="1">
      <c r="A21" s="69" t="inlineStr">
        <is>
          <t>反震阵</t>
        </is>
      </c>
      <c r="B21" s="61" t="inlineStr">
        <is>
          <t>阵法</t>
        </is>
      </c>
      <c r="C21" s="61" t="n">
        <v>3</v>
      </c>
      <c r="D21" s="61" t="n">
        <v>3</v>
      </c>
      <c r="E21" s="61" t="n">
        <v>0</v>
      </c>
      <c r="F21" s="61" t="inlineStr">
        <is>
          <t>-</t>
        </is>
      </c>
      <c r="G21" s="61" t="n">
        <v>1</v>
      </c>
      <c r="H21" s="61" t="inlineStr">
        <is>
          <t>反伤50%</t>
        </is>
      </c>
      <c r="I21" s="61" t="inlineStr">
        <is>
          <t>灵品</t>
        </is>
      </c>
    </row>
    <row r="22" ht="24" customHeight="1">
      <c r="A22" s="69" t="inlineStr">
        <is>
          <t>天罗阵</t>
        </is>
      </c>
      <c r="B22" s="61" t="inlineStr">
        <is>
          <t>阵法</t>
        </is>
      </c>
      <c r="C22" s="61" t="n">
        <v>5</v>
      </c>
      <c r="D22" s="61" t="n">
        <v>6</v>
      </c>
      <c r="E22" s="61" t="n">
        <v>2</v>
      </c>
      <c r="F22" s="61" t="n">
        <v>1</v>
      </c>
      <c r="G22" s="61" t="n">
        <v>1</v>
      </c>
      <c r="H22" s="61" t="inlineStr">
        <is>
          <t>范围(打相邻所有敌人)</t>
        </is>
      </c>
      <c r="I22" s="61" t="inlineStr">
        <is>
          <t>宝品</t>
        </is>
      </c>
    </row>
    <row r="24" ht="30" customHeight="1">
      <c r="A24" s="23" t="inlineStr">
        <is>
          <t>法术</t>
        </is>
      </c>
    </row>
    <row r="25" ht="30" customHeight="1">
      <c r="A25" s="3" t="inlineStr">
        <is>
          <t>名称</t>
        </is>
      </c>
      <c r="B25" s="3" t="inlineStr">
        <is>
          <t>类型</t>
        </is>
      </c>
      <c r="C25" s="3" t="inlineStr">
        <is>
          <t>费用</t>
        </is>
      </c>
      <c r="D25" s="3" t="inlineStr">
        <is>
          <t>效果</t>
        </is>
      </c>
      <c r="E25" s="3" t="inlineStr"/>
      <c r="F25" s="3" t="inlineStr"/>
      <c r="G25" s="3" t="inlineStr"/>
      <c r="H25" s="3" t="inlineStr">
        <is>
          <t>偏向</t>
        </is>
      </c>
      <c r="I25" s="3" t="inlineStr">
        <is>
          <t>稀有度</t>
        </is>
      </c>
    </row>
    <row r="26" ht="24" customHeight="1">
      <c r="A26" s="70" t="inlineStr">
        <is>
          <t>万剑归宗</t>
        </is>
      </c>
      <c r="B26" s="61" t="inlineStr">
        <is>
          <t>法术</t>
        </is>
      </c>
      <c r="C26" s="61" t="n">
        <v>5</v>
      </c>
      <c r="D26" s="61" t="inlineStr">
        <is>
          <t>全己方单位+1攻、移速+0.3(5s)</t>
        </is>
      </c>
      <c r="E26" s="61" t="inlineStr"/>
      <c r="F26" s="61" t="inlineStr"/>
      <c r="G26" s="61" t="inlineStr"/>
      <c r="H26" s="61" t="inlineStr">
        <is>
          <t>攻方</t>
        </is>
      </c>
      <c r="I26" s="61" t="inlineStr">
        <is>
          <t>宝品</t>
        </is>
      </c>
    </row>
    <row r="27" ht="24" customHeight="1">
      <c r="A27" s="70" t="inlineStr">
        <is>
          <t>五雷正法</t>
        </is>
      </c>
      <c r="B27" s="61" t="inlineStr">
        <is>
          <t>法术</t>
        </is>
      </c>
      <c r="C27" s="61" t="n">
        <v>4</v>
      </c>
      <c r="D27" s="61" t="inlineStr">
        <is>
          <t>区域3格内敌方受4伤</t>
        </is>
      </c>
      <c r="E27" s="61" t="inlineStr"/>
      <c r="F27" s="61" t="inlineStr"/>
      <c r="G27" s="61" t="inlineStr"/>
      <c r="H27" s="61" t="inlineStr">
        <is>
          <t>通用</t>
        </is>
      </c>
      <c r="I27" s="61" t="inlineStr">
        <is>
          <t>灵品</t>
        </is>
      </c>
    </row>
    <row r="28" ht="24" customHeight="1">
      <c r="A28" s="70" t="inlineStr">
        <is>
          <t>御风诀</t>
        </is>
      </c>
      <c r="B28" s="61" t="inlineStr">
        <is>
          <t>法术</t>
        </is>
      </c>
      <c r="C28" s="61" t="n">
        <v>2</v>
      </c>
      <c r="D28" s="61" t="inlineStr">
        <is>
          <t>指定己方单位移速+0.5(5s)</t>
        </is>
      </c>
      <c r="E28" s="61" t="inlineStr"/>
      <c r="F28" s="61" t="inlineStr"/>
      <c r="G28" s="61" t="inlineStr"/>
      <c r="H28" s="61" t="inlineStr">
        <is>
          <t>通用</t>
        </is>
      </c>
      <c r="I28" s="61" t="inlineStr">
        <is>
          <t>凡品</t>
        </is>
      </c>
    </row>
    <row r="29" ht="24" customHeight="1">
      <c r="A29" s="70" t="inlineStr">
        <is>
          <t>镇魂符</t>
        </is>
      </c>
      <c r="B29" s="61" t="inlineStr">
        <is>
          <t>法术</t>
        </is>
      </c>
      <c r="C29" s="61" t="n">
        <v>3</v>
      </c>
      <c r="D29" s="61" t="inlineStr">
        <is>
          <t>指定敌方阵法失效3秒</t>
        </is>
      </c>
      <c r="E29" s="61" t="inlineStr"/>
      <c r="F29" s="61" t="inlineStr"/>
      <c r="G29" s="61" t="inlineStr"/>
      <c r="H29" s="61" t="inlineStr">
        <is>
          <t>通用</t>
        </is>
      </c>
      <c r="I29" s="61" t="inlineStr">
        <is>
          <t>凡品</t>
        </is>
      </c>
    </row>
    <row r="30" ht="24" customHeight="1">
      <c r="A30" s="70" t="inlineStr">
        <is>
          <t>金钟罩</t>
        </is>
      </c>
      <c r="B30" s="61" t="inlineStr">
        <is>
          <t>法术</t>
        </is>
      </c>
      <c r="C30" s="61" t="n">
        <v>3</v>
      </c>
      <c r="D30" s="61" t="inlineStr">
        <is>
          <t>己方大殿免疫伤害3秒</t>
        </is>
      </c>
      <c r="E30" s="61" t="inlineStr"/>
      <c r="F30" s="61" t="inlineStr"/>
      <c r="G30" s="61" t="inlineStr"/>
      <c r="H30" s="61" t="inlineStr">
        <is>
          <t>守方</t>
        </is>
      </c>
      <c r="I30" s="61" t="inlineStr">
        <is>
          <t>灵品</t>
        </is>
      </c>
    </row>
    <row r="31" ht="24" customHeight="1">
      <c r="A31" s="70" t="inlineStr">
        <is>
          <t>移山倒海</t>
        </is>
      </c>
      <c r="B31" s="61" t="inlineStr">
        <is>
          <t>法术</t>
        </is>
      </c>
      <c r="C31" s="61" t="n">
        <v>4</v>
      </c>
      <c r="D31" s="61" t="inlineStr">
        <is>
          <t>区域敌人推后2格+1伤</t>
        </is>
      </c>
      <c r="E31" s="61" t="inlineStr"/>
      <c r="F31" s="61" t="inlineStr"/>
      <c r="G31" s="61" t="inlineStr"/>
      <c r="H31" s="61" t="inlineStr">
        <is>
          <t>守方</t>
        </is>
      </c>
      <c r="I31" s="61" t="inlineStr">
        <is>
          <t>灵品</t>
        </is>
      </c>
    </row>
    <row r="32" ht="24" customHeight="1">
      <c r="A32" s="70" t="inlineStr">
        <is>
          <t>困仙索</t>
        </is>
      </c>
      <c r="B32" s="61" t="inlineStr">
        <is>
          <t>法术</t>
        </is>
      </c>
      <c r="C32" s="61" t="n">
        <v>2</v>
      </c>
      <c r="D32" s="61" t="inlineStr">
        <is>
          <t>指定敌人定身2秒</t>
        </is>
      </c>
      <c r="E32" s="61" t="inlineStr"/>
      <c r="F32" s="61" t="inlineStr"/>
      <c r="G32" s="61" t="inlineStr"/>
      <c r="H32" s="61" t="inlineStr">
        <is>
          <t>守方</t>
        </is>
      </c>
      <c r="I32" s="61" t="inlineStr">
        <is>
          <t>凡品</t>
        </is>
      </c>
    </row>
    <row r="33" ht="24" customHeight="1">
      <c r="A33" s="70" t="inlineStr">
        <is>
          <t>天雷诀</t>
        </is>
      </c>
      <c r="B33" s="61" t="inlineStr">
        <is>
          <t>法术</t>
        </is>
      </c>
      <c r="C33" s="61" t="n">
        <v>4</v>
      </c>
      <c r="D33" s="61" t="inlineStr">
        <is>
          <t>范围3格内敌方受4伤(清兵)</t>
        </is>
      </c>
      <c r="E33" s="61" t="inlineStr"/>
      <c r="F33" s="61" t="inlineStr"/>
      <c r="G33" s="61" t="inlineStr"/>
      <c r="H33" s="61" t="inlineStr">
        <is>
          <t>通用</t>
        </is>
      </c>
      <c r="I33" s="61" t="inlineStr">
        <is>
          <t>灵品</t>
        </is>
      </c>
    </row>
  </sheetData>
  <mergeCells count="5">
    <mergeCell ref="A10:I10"/>
    <mergeCell ref="A1:I1"/>
    <mergeCell ref="A3:I3"/>
    <mergeCell ref="A24:I24"/>
    <mergeCell ref="A16:I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32" customWidth="1" min="3" max="3"/>
    <col width="14" customWidth="1" min="4" max="4"/>
    <col width="14" customWidth="1" min="5" max="5"/>
  </cols>
  <sheetData>
    <row r="1" ht="44" customHeight="1">
      <c r="A1" s="1" t="inlineStr">
        <is>
          <t>数值配置 — 所有可调参数集中管理</t>
        </is>
      </c>
    </row>
    <row r="3" ht="30" customHeight="1">
      <c r="A3" s="3" t="inlineStr">
        <is>
          <t>参数名</t>
        </is>
      </c>
      <c r="B3" s="3" t="inlineStr">
        <is>
          <t>当前值</t>
        </is>
      </c>
      <c r="C3" s="3" t="inlineStr">
        <is>
          <t>说明</t>
        </is>
      </c>
      <c r="D3" s="3" t="inlineStr">
        <is>
          <t>调高偏向</t>
        </is>
      </c>
      <c r="E3" s="3" t="inlineStr">
        <is>
          <t>调低偏向</t>
        </is>
      </c>
    </row>
    <row r="4" ht="22" customHeight="1">
      <c r="A4" s="60" t="inlineStr">
        <is>
          <t>灵力回复间隔</t>
        </is>
      </c>
      <c r="B4" s="61" t="inlineStr">
        <is>
          <t>2.8秒</t>
        </is>
      </c>
      <c r="C4" s="61" t="inlineStr">
        <is>
          <t>每多少秒回复1点灵力</t>
        </is>
      </c>
      <c r="D4" s="61" t="inlineStr">
        <is>
          <t>攻方(出兵多)</t>
        </is>
      </c>
      <c r="E4" s="61" t="inlineStr">
        <is>
          <t>守方(布阵少)</t>
        </is>
      </c>
    </row>
    <row r="5" ht="22" customHeight="1">
      <c r="A5" s="60" t="inlineStr">
        <is>
          <t>灵力初始上限</t>
        </is>
      </c>
      <c r="B5" s="61" t="inlineStr">
        <is>
          <t>5</t>
        </is>
      </c>
      <c r="C5" s="61" t="inlineStr">
        <is>
          <t>开局灵力上限</t>
        </is>
      </c>
      <c r="D5" s="61" t="inlineStr">
        <is>
          <t>攻方</t>
        </is>
      </c>
      <c r="E5" s="61" t="inlineStr">
        <is>
          <t>守方</t>
        </is>
      </c>
    </row>
    <row r="6" ht="22" customHeight="1">
      <c r="A6" s="60" t="inlineStr">
        <is>
          <t>灵力上限增长间隔</t>
        </is>
      </c>
      <c r="B6" s="61" t="inlineStr">
        <is>
          <t>30秒</t>
        </is>
      </c>
      <c r="C6" s="61" t="inlineStr">
        <is>
          <t>每多少秒上限+1</t>
        </is>
      </c>
      <c r="D6" s="61" t="inlineStr">
        <is>
          <t>攻方</t>
        </is>
      </c>
      <c r="E6" s="61" t="inlineStr">
        <is>
          <t>守方</t>
        </is>
      </c>
    </row>
    <row r="7" ht="22" customHeight="1">
      <c r="A7" s="60" t="inlineStr">
        <is>
          <t>灵力上限封顶</t>
        </is>
      </c>
      <c r="B7" s="61" t="inlineStr">
        <is>
          <t>10</t>
        </is>
      </c>
      <c r="C7" s="61" t="inlineStr">
        <is>
          <t>灵力上限最大值</t>
        </is>
      </c>
      <c r="D7" s="61" t="inlineStr">
        <is>
          <t>攻方</t>
        </is>
      </c>
      <c r="E7" s="61" t="inlineStr">
        <is>
          <t>守方</t>
        </is>
      </c>
    </row>
    <row r="8" ht="22" customHeight="1">
      <c r="A8" s="60" t="inlineStr">
        <is>
          <t>大殿血量</t>
        </is>
      </c>
      <c r="B8" s="61" t="inlineStr">
        <is>
          <t>30</t>
        </is>
      </c>
      <c r="C8" s="61" t="inlineStr">
        <is>
          <t>大殿初始血量</t>
        </is>
      </c>
      <c r="D8" s="61" t="inlineStr">
        <is>
          <t>守方</t>
        </is>
      </c>
      <c r="E8" s="61" t="inlineStr">
        <is>
          <t>攻方</t>
        </is>
      </c>
    </row>
    <row r="9" ht="22" customHeight="1">
      <c r="A9" s="60" t="inlineStr">
        <is>
          <t>单局时长</t>
        </is>
      </c>
      <c r="B9" s="61" t="inlineStr">
        <is>
          <t>180秒</t>
        </is>
      </c>
      <c r="C9" s="61" t="inlineStr">
        <is>
          <t>正常对战时间</t>
        </is>
      </c>
      <c r="D9" s="61" t="inlineStr">
        <is>
          <t>守方</t>
        </is>
      </c>
      <c r="E9" s="61" t="inlineStr">
        <is>
          <t>攻方</t>
        </is>
      </c>
    </row>
    <row r="10" ht="22" customHeight="1">
      <c r="A10" s="60" t="inlineStr">
        <is>
          <t>加时时长</t>
        </is>
      </c>
      <c r="B10" s="61" t="inlineStr">
        <is>
          <t>60秒</t>
        </is>
      </c>
      <c r="C10" s="61" t="inlineStr">
        <is>
          <t>平局后加时时间</t>
        </is>
      </c>
      <c r="D10" s="61" t="inlineStr">
        <is>
          <t>中立</t>
        </is>
      </c>
      <c r="E10" s="61" t="inlineStr">
        <is>
          <t>中立</t>
        </is>
      </c>
    </row>
    <row r="11" ht="22" customHeight="1">
      <c r="A11" s="60" t="inlineStr">
        <is>
          <t>加时灵力倍率</t>
        </is>
      </c>
      <c r="B11" s="61" t="inlineStr">
        <is>
          <t>1.5</t>
        </is>
      </c>
      <c r="C11" s="61" t="inlineStr">
        <is>
          <t>加时赛灵力回复倍率</t>
        </is>
      </c>
      <c r="D11" s="61" t="inlineStr">
        <is>
          <t>攻方</t>
        </is>
      </c>
      <c r="E11" s="61" t="inlineStr">
        <is>
          <t>守方</t>
        </is>
      </c>
    </row>
    <row r="12" ht="22" customHeight="1">
      <c r="A12" s="60" t="inlineStr">
        <is>
          <t>手牌数量</t>
        </is>
      </c>
      <c r="B12" s="61" t="inlineStr">
        <is>
          <t>4</t>
        </is>
      </c>
      <c r="C12" s="61" t="inlineStr">
        <is>
          <t>同时持有手牌数</t>
        </is>
      </c>
      <c r="D12" s="61" t="inlineStr">
        <is>
          <t>攻方(选择多)</t>
        </is>
      </c>
      <c r="E12" s="61" t="inlineStr">
        <is>
          <t>守方</t>
        </is>
      </c>
    </row>
    <row r="13" ht="22" customHeight="1">
      <c r="A13" s="60" t="inlineStr">
        <is>
          <t>卡组数量</t>
        </is>
      </c>
      <c r="B13" s="61" t="inlineStr">
        <is>
          <t>8</t>
        </is>
      </c>
      <c r="C13" s="61" t="inlineStr">
        <is>
          <t>卡组总卡牌数</t>
        </is>
      </c>
      <c r="D13" s="61" t="inlineStr">
        <is>
          <t>中立</t>
        </is>
      </c>
      <c r="E13" s="61" t="inlineStr">
        <is>
          <t>中立</t>
        </is>
      </c>
    </row>
    <row r="14" ht="22" customHeight="1">
      <c r="A14" s="60" t="inlineStr">
        <is>
          <t>抽牌延迟</t>
        </is>
      </c>
      <c r="B14" s="61" t="inlineStr">
        <is>
          <t>2秒</t>
        </is>
      </c>
      <c r="C14" s="61" t="inlineStr">
        <is>
          <t>打出后多久抽新牌</t>
        </is>
      </c>
      <c r="D14" s="61" t="inlineStr">
        <is>
          <t>守方</t>
        </is>
      </c>
      <c r="E14" s="61" t="inlineStr">
        <is>
          <t>攻方</t>
        </is>
      </c>
    </row>
    <row r="15" ht="22" customHeight="1">
      <c r="A15" s="60" t="inlineStr">
        <is>
          <t>阵法冷却时间</t>
        </is>
      </c>
      <c r="B15" s="61" t="inlineStr">
        <is>
          <t>8秒</t>
        </is>
      </c>
      <c r="C15" s="61" t="inlineStr">
        <is>
          <t>阵法被毁后格子冷却</t>
        </is>
      </c>
      <c r="D15" s="61" t="inlineStr">
        <is>
          <t>攻方</t>
        </is>
      </c>
      <c r="E15" s="61" t="inlineStr">
        <is>
          <t>守方</t>
        </is>
      </c>
    </row>
    <row r="16" ht="22" customHeight="1">
      <c r="A16" s="60" t="inlineStr">
        <is>
          <t>长老技能间隔</t>
        </is>
      </c>
      <c r="B16" s="61" t="inlineStr">
        <is>
          <t>5秒</t>
        </is>
      </c>
      <c r="C16" s="61" t="inlineStr">
        <is>
          <t>长老多久释放一次技能</t>
        </is>
      </c>
      <c r="D16" s="61" t="inlineStr">
        <is>
          <t>守方</t>
        </is>
      </c>
      <c r="E16" s="61" t="inlineStr">
        <is>
          <t>攻方</t>
        </is>
      </c>
    </row>
    <row r="17" ht="22" customHeight="1">
      <c r="A17" s="60" t="inlineStr">
        <is>
          <t>棋盘长度</t>
        </is>
      </c>
      <c r="B17" s="61" t="inlineStr">
        <is>
          <t>9格</t>
        </is>
      </c>
      <c r="C17" s="61" t="inlineStr">
        <is>
          <t>大殿到大殿格子数(含大殿)</t>
        </is>
      </c>
      <c r="D17" s="61" t="inlineStr">
        <is>
          <t>守方</t>
        </is>
      </c>
      <c r="E17" s="61" t="inlineStr">
        <is>
          <t>攻方</t>
        </is>
      </c>
    </row>
    <row r="18" ht="22" customHeight="1">
      <c r="A18" s="60" t="inlineStr">
        <is>
          <t>同屏单位上限</t>
        </is>
      </c>
      <c r="B18" s="61" t="inlineStr">
        <is>
          <t>30</t>
        </is>
      </c>
      <c r="C18" s="61" t="inlineStr">
        <is>
          <t>最多同时存在单位数</t>
        </is>
      </c>
      <c r="D18" s="61" t="inlineStr">
        <is>
          <t>中立(性能)</t>
        </is>
      </c>
      <c r="E18" s="61" t="inlineStr">
        <is>
          <t>中立(性能)</t>
        </is>
      </c>
    </row>
    <row r="19" ht="22" customHeight="1">
      <c r="A19" s="60" t="inlineStr">
        <is>
          <t>远程单位射程</t>
        </is>
      </c>
      <c r="B19" s="61" t="inlineStr">
        <is>
          <t>3格</t>
        </is>
      </c>
      <c r="C19" s="61" t="inlineStr">
        <is>
          <t>剑修弟子攻击射程</t>
        </is>
      </c>
      <c r="D19" s="61" t="inlineStr">
        <is>
          <t>攻方</t>
        </is>
      </c>
      <c r="E19" s="61" t="inlineStr">
        <is>
          <t>守方</t>
        </is>
      </c>
    </row>
    <row r="20" ht="22" customHeight="1">
      <c r="A20" s="60" t="inlineStr">
        <is>
          <t>减速幅度</t>
        </is>
      </c>
      <c r="B20" s="61" t="inlineStr">
        <is>
          <t>0.5</t>
        </is>
      </c>
      <c r="C20" s="61" t="inlineStr">
        <is>
          <t>寒霜阵减速值</t>
        </is>
      </c>
      <c r="D20" s="61" t="inlineStr">
        <is>
          <t>守方</t>
        </is>
      </c>
      <c r="E20" s="61" t="inlineStr">
        <is>
          <t>攻方</t>
        </is>
      </c>
    </row>
    <row r="21" ht="22" customHeight="1">
      <c r="A21" s="60" t="inlineStr">
        <is>
          <t>减速持续</t>
        </is>
      </c>
      <c r="B21" s="61" t="inlineStr">
        <is>
          <t>2秒</t>
        </is>
      </c>
      <c r="C21" s="61" t="inlineStr">
        <is>
          <t>减速持续时间</t>
        </is>
      </c>
      <c r="D21" s="61" t="inlineStr">
        <is>
          <t>守方</t>
        </is>
      </c>
      <c r="E21" s="61" t="inlineStr">
        <is>
          <t>攻方</t>
        </is>
      </c>
    </row>
    <row r="22" ht="22" customHeight="1">
      <c r="A22" s="60" t="inlineStr">
        <is>
          <t>反震比例</t>
        </is>
      </c>
      <c r="B22" s="61" t="inlineStr">
        <is>
          <t>50%</t>
        </is>
      </c>
      <c r="C22" s="61" t="inlineStr">
        <is>
          <t>反震阵反弹伤害比例</t>
        </is>
      </c>
      <c r="D22" s="61" t="inlineStr">
        <is>
          <t>守方</t>
        </is>
      </c>
      <c r="E22" s="61" t="inlineStr">
        <is>
          <t>攻方</t>
        </is>
      </c>
    </row>
    <row r="23" ht="22" customHeight="1">
      <c r="A23" s="60" t="inlineStr">
        <is>
          <t>护盾持续</t>
        </is>
      </c>
      <c r="B23" s="61" t="inlineStr">
        <is>
          <t>3秒</t>
        </is>
      </c>
      <c r="C23" s="61" t="inlineStr">
        <is>
          <t>金钟罩大殿免疫时间</t>
        </is>
      </c>
      <c r="D23" s="61" t="inlineStr">
        <is>
          <t>守方</t>
        </is>
      </c>
      <c r="E23" s="61" t="inlineStr">
        <is>
          <t>攻方</t>
        </is>
      </c>
    </row>
    <row r="24" ht="22" customHeight="1">
      <c r="A24" s="60" t="inlineStr">
        <is>
          <t>定身持续</t>
        </is>
      </c>
      <c r="B24" s="61" t="inlineStr">
        <is>
          <t>2秒</t>
        </is>
      </c>
      <c r="C24" s="61" t="inlineStr">
        <is>
          <t>困仙索定身时间</t>
        </is>
      </c>
      <c r="D24" s="61" t="inlineStr">
        <is>
          <t>守方</t>
        </is>
      </c>
      <c r="E24" s="61" t="inlineStr">
        <is>
          <t>攻方</t>
        </is>
      </c>
    </row>
    <row r="25" ht="22" customHeight="1">
      <c r="A25" s="60" t="inlineStr">
        <is>
          <t>推后格数</t>
        </is>
      </c>
      <c r="B25" s="61" t="inlineStr">
        <is>
          <t>2格</t>
        </is>
      </c>
      <c r="C25" s="61" t="inlineStr">
        <is>
          <t>移山倒海推后距离</t>
        </is>
      </c>
      <c r="D25" s="61" t="inlineStr">
        <is>
          <t>守方</t>
        </is>
      </c>
      <c r="E25" s="61" t="inlineStr">
        <is>
          <t>攻方</t>
        </is>
      </c>
    </row>
    <row r="26" ht="22" customHeight="1">
      <c r="A26" s="60" t="inlineStr">
        <is>
          <t>加速持续</t>
        </is>
      </c>
      <c r="B26" s="61" t="inlineStr">
        <is>
          <t>5秒</t>
        </is>
      </c>
      <c r="C26" s="61" t="inlineStr">
        <is>
          <t>御风诀/万剑归宗加速时间</t>
        </is>
      </c>
      <c r="D26" s="61" t="inlineStr">
        <is>
          <t>攻方</t>
        </is>
      </c>
      <c r="E26" s="61" t="inlineStr">
        <is>
          <t>守方</t>
        </is>
      </c>
    </row>
    <row r="27" ht="22" customHeight="1">
      <c r="A27" s="60" t="inlineStr">
        <is>
          <t>禁阵持续</t>
        </is>
      </c>
      <c r="B27" s="61" t="inlineStr">
        <is>
          <t>3秒</t>
        </is>
      </c>
      <c r="C27" s="61" t="inlineStr">
        <is>
          <t>镇魂符禁阵时间</t>
        </is>
      </c>
      <c r="D27" s="61" t="inlineStr">
        <is>
          <t>攻方</t>
        </is>
      </c>
      <c r="E27" s="61" t="inlineStr">
        <is>
          <t>守方</t>
        </is>
      </c>
    </row>
    <row r="28" ht="22" customHeight="1">
      <c r="A28" s="60" t="inlineStr">
        <is>
          <t>AI简单思考间隔</t>
        </is>
      </c>
      <c r="B28" s="61" t="inlineStr">
        <is>
          <t>3.5秒</t>
        </is>
      </c>
      <c r="C28" s="61" t="inlineStr">
        <is>
          <t>简单AI决策间隔</t>
        </is>
      </c>
      <c r="D28" s="61" t="inlineStr">
        <is>
          <t>AI强</t>
        </is>
      </c>
      <c r="E28" s="61" t="inlineStr">
        <is>
          <t>AI弱</t>
        </is>
      </c>
    </row>
    <row r="29" ht="22" customHeight="1">
      <c r="A29" s="60" t="inlineStr">
        <is>
          <t>AI普通思考间隔</t>
        </is>
      </c>
      <c r="B29" s="61" t="inlineStr">
        <is>
          <t>2.5秒</t>
        </is>
      </c>
      <c r="C29" s="61" t="inlineStr">
        <is>
          <t>普通AI决策间隔</t>
        </is>
      </c>
      <c r="D29" s="61" t="inlineStr">
        <is>
          <t>AI强</t>
        </is>
      </c>
      <c r="E29" s="61" t="inlineStr">
        <is>
          <t>AI弱</t>
        </is>
      </c>
    </row>
    <row r="30" ht="22" customHeight="1">
      <c r="A30" s="60" t="inlineStr">
        <is>
          <t>AI困难思考间隔</t>
        </is>
      </c>
      <c r="B30" s="61" t="inlineStr">
        <is>
          <t>1.5秒</t>
        </is>
      </c>
      <c r="C30" s="61" t="inlineStr">
        <is>
          <t>困难AI决策间隔</t>
        </is>
      </c>
      <c r="D30" s="61" t="inlineStr">
        <is>
          <t>AI强</t>
        </is>
      </c>
      <c r="E30" s="61" t="inlineStr">
        <is>
          <t>AI弱</t>
        </is>
      </c>
    </row>
    <row r="32" ht="30" customHeight="1">
      <c r="A32" s="18" t="inlineStr">
        <is>
          <t>平衡验证标准（模拟10局AI vs AI）</t>
        </is>
      </c>
    </row>
    <row r="33">
      <c r="A33" s="60" t="inlineStr">
        <is>
          <t>• 双方摧毁度都在 20%~70% 区间</t>
        </is>
      </c>
    </row>
    <row r="34">
      <c r="A34" s="60" t="inlineStr">
        <is>
          <t>• 胜率：攻守方各 ~50%（40%~60%）</t>
        </is>
      </c>
    </row>
    <row r="35">
      <c r="A35" s="60" t="inlineStr">
        <is>
          <t>• 0% 摧毁度对局 &lt; 10%</t>
        </is>
      </c>
    </row>
    <row r="36">
      <c r="A36" s="60" t="inlineStr">
        <is>
          <t>• 90% 对局在 150~210 秒内结束</t>
        </is>
      </c>
    </row>
    <row r="37">
      <c r="A37" s="60" t="inlineStr">
        <is>
          <t>• 双方大殿都被打到（有来有回）</t>
        </is>
      </c>
    </row>
  </sheetData>
  <mergeCells count="7">
    <mergeCell ref="A34:E34"/>
    <mergeCell ref="A35:E35"/>
    <mergeCell ref="A33:E33"/>
    <mergeCell ref="A1:E1"/>
    <mergeCell ref="A37:E37"/>
    <mergeCell ref="A32:E32"/>
    <mergeCell ref="A36:E3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5" customWidth="1" min="2" max="2"/>
  </cols>
  <sheetData>
    <row r="1" ht="44" customHeight="1">
      <c r="A1" s="1" t="inlineStr">
        <is>
          <t>AI提问指南 — 如何让AI替你干活</t>
        </is>
      </c>
    </row>
    <row r="3" ht="30" customHeight="1">
      <c r="A3" s="18" t="inlineStr">
        <is>
          <t>一、黄金公式</t>
        </is>
      </c>
    </row>
    <row r="4" ht="30" customHeight="1">
      <c r="A4" s="71" t="inlineStr">
        <is>
          <t>公式</t>
        </is>
      </c>
      <c r="B4" s="5" t="inlineStr">
        <is>
          <t>【角色定位】+【具体任务】+【上下文/参考文件】+【完成标准】+【自主决策授权】</t>
        </is>
      </c>
    </row>
    <row r="6" ht="30" customHeight="1">
      <c r="A6" s="23" t="inlineStr">
        <is>
          <t>二、提示词模板（直接复制使用）</t>
        </is>
      </c>
    </row>
    <row r="7" ht="100" customHeight="1">
      <c r="A7" s="71" t="inlineStr">
        <is>
          <t>场景1：实现功能</t>
        </is>
      </c>
      <c r="B7" s="5" t="inlineStr">
        <is>
          <t>你是微信小游戏开发专家。
请实现【功能名】：【把主表"实现原理"列的内容粘过来】
函数签名：【把主表"L5函数"列粘过来】
文件路径：【把主表"文件路径"列粘过来】
完成标准：①代码能通过node --check语法检查 ②符合原理描述的逻辑
遇到设计细节未明确的按合理默认自行决定，做完统一汇报，不要中途问我。</t>
        </is>
      </c>
    </row>
    <row r="8" ht="100" customHeight="1">
      <c r="A8" s="71" t="inlineStr">
        <is>
          <t>场景2：修Bug</t>
        </is>
      </c>
      <c r="B8" s="5" t="inlineStr">
        <is>
          <t>我遇到了一个Bug：
【现象：什么情况发生了什么】
【错误信息：贴上报错日志】
相关文件：【文件路径】
请分析原因并修复。修复后说明改了什么、为什么。</t>
        </is>
      </c>
    </row>
    <row r="9" ht="100" customHeight="1">
      <c r="A9" s="71" t="inlineStr">
        <is>
          <t>场景3：平衡调优</t>
        </is>
      </c>
      <c r="B9" s="5" t="inlineStr">
        <is>
          <t>请运行AI vs AI模拟10局，输出每局：双方摧毁度/胜方/时长。
当前参数见「数值配置」表。
如发现平衡问题（摧毁度0%或一边倒），调整参数重新模拟，直到：双方摧毁度20~70%，胜率~50%。
每次调参记录：调了什么、从多少到多少、为什么。</t>
        </is>
      </c>
    </row>
    <row r="10" ht="100" customHeight="1">
      <c r="A10" s="71" t="inlineStr">
        <is>
          <t>场景4：自主连续开发</t>
        </is>
      </c>
      <c r="B10" s="5" t="inlineStr">
        <is>
          <t>以下是连续任务（按顺序）：
【粘贴主表中连续3~5个L3行的"编号+原理+函数"】
请按顺序逐个完成，每个完成后：①标记完成 ②记录做了什么 ③立即开始下一个
全部做完统一汇报。遇到细节自行决定，不要中途问我。
每个任务必须通过完成标准验证。</t>
        </is>
      </c>
    </row>
    <row r="12" ht="30" customHeight="1">
      <c r="A12" s="65" t="inlineStr">
        <is>
          <t>三、常见错误与纠正</t>
        </is>
      </c>
    </row>
    <row r="13" ht="30" customHeight="1">
      <c r="A13" s="5" t="inlineStr">
        <is>
          <t>❌太模糊</t>
        </is>
      </c>
      <c r="B13" s="5" t="inlineStr">
        <is>
          <t>"做个战斗系统" → ✅"实现单位移动：沿y轴推进，speed×dt，遇敌停下"</t>
        </is>
      </c>
    </row>
    <row r="14" ht="30" customHeight="1">
      <c r="A14" s="5" t="inlineStr">
        <is>
          <t>❌太大</t>
        </is>
      </c>
      <c r="B14" s="5" t="inlineStr">
        <is>
          <t>"把游戏做完" → ✅一次一个任务（主表一行）</t>
        </is>
      </c>
    </row>
    <row r="15" ht="30" customHeight="1">
      <c r="A15" s="5" t="inlineStr">
        <is>
          <t>❌没标准</t>
        </is>
      </c>
      <c r="B15" s="5" t="inlineStr">
        <is>
          <t>"帮我写代码" → ✅给完成标准"能通过node --check + 模拟能跑"</t>
        </is>
      </c>
    </row>
    <row r="16" ht="30" customHeight="1">
      <c r="A16" s="5" t="inlineStr">
        <is>
          <t>❌没授权</t>
        </is>
      </c>
      <c r="B16" s="5" t="inlineStr">
        <is>
          <t>AI每步都停下问你 → ✅"遇到细节自行决定，做完汇报，不要中途问我"</t>
        </is>
      </c>
    </row>
    <row r="17" ht="30" customHeight="1">
      <c r="A17" s="5" t="inlineStr">
        <is>
          <t>❌没验证</t>
        </is>
      </c>
      <c r="B17" s="5" t="inlineStr">
        <is>
          <t>AI说做完了你就信 → ✅按完成标准自己验证（跑模拟/查语法）</t>
        </is>
      </c>
    </row>
    <row r="18" ht="30" customHeight="1">
      <c r="A18" s="5" t="inlineStr">
        <is>
          <t>❌没上下文</t>
        </is>
      </c>
      <c r="B18" s="5" t="inlineStr">
        <is>
          <t>AI不知道已有代码 → ✅告诉它参考文件路径和设计文档</t>
        </is>
      </c>
    </row>
    <row r="20" ht="30" customHeight="1">
      <c r="A20" s="68" t="inlineStr">
        <is>
          <t>四、每日开发流程</t>
        </is>
      </c>
    </row>
    <row r="21" ht="24" customHeight="1">
      <c r="A21" s="60" t="inlineStr">
        <is>
          <t>1. 看「0.开发阶段规划」确认当前阶段（如P3）</t>
        </is>
      </c>
    </row>
    <row r="22" ht="24" customHeight="1">
      <c r="A22" s="60" t="inlineStr">
        <is>
          <t>2. 打开「2.开发主表」筛选阶段=P3，找第一个"待办"的L3行</t>
        </is>
      </c>
    </row>
    <row r="23" ht="24" customHeight="1">
      <c r="A23" s="60" t="inlineStr">
        <is>
          <t>3. 复制该行的"实现原理"+"函数"+"文件路径"</t>
        </is>
      </c>
    </row>
    <row r="24" ht="24" customHeight="1">
      <c r="A24" s="60" t="inlineStr">
        <is>
          <t>4. 用「场景1」模板粘贴发给AI</t>
        </is>
      </c>
    </row>
    <row r="25" ht="24" customHeight="1">
      <c r="A25" s="60" t="inlineStr">
        <is>
          <t>5. AI完成后你验证（node --check / 跑模拟）</t>
        </is>
      </c>
    </row>
    <row r="26" ht="24" customHeight="1">
      <c r="A26" s="60" t="inlineStr">
        <is>
          <t>6. 通过→主表状态改"已完成"→进度统计自动更新</t>
        </is>
      </c>
    </row>
    <row r="27" ht="24" customHeight="1">
      <c r="A27" s="60" t="inlineStr">
        <is>
          <t>7. 不通过→用「场景2」修Bug模板发给AI</t>
        </is>
      </c>
    </row>
    <row r="28" ht="24" customHeight="1">
      <c r="A28" s="60" t="inlineStr">
        <is>
          <t>8. 重复，每天2~4个任务</t>
        </is>
      </c>
    </row>
  </sheetData>
  <mergeCells count="13">
    <mergeCell ref="A20:B20"/>
    <mergeCell ref="A21:B21"/>
    <mergeCell ref="A24:B24"/>
    <mergeCell ref="A26:B26"/>
    <mergeCell ref="A25:B25"/>
    <mergeCell ref="A28:B28"/>
    <mergeCell ref="A1:B1"/>
    <mergeCell ref="A23:B23"/>
    <mergeCell ref="A27:B27"/>
    <mergeCell ref="A3:B3"/>
    <mergeCell ref="A6:B6"/>
    <mergeCell ref="A22:B22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2026-08-07T17:47:46Z</dcterms:created>
  <dcterms:modified xsi:type="dcterms:W3CDTF">2026-08-07T17:47:46Z</dcterms:modified>
</cp:coreProperties>
</file>